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202300"/>
  <mc:AlternateContent xmlns:mc="http://schemas.openxmlformats.org/markup-compatibility/2006">
    <mc:Choice Requires="x15">
      <x15ac:absPath xmlns:x15ac="http://schemas.microsoft.com/office/spreadsheetml/2010/11/ac" url="C:\Users\Sanchit Satpaise\Desktop\excel_work\"/>
    </mc:Choice>
  </mc:AlternateContent>
  <xr:revisionPtr revIDLastSave="0" documentId="8_{B1579457-36FF-4BE0-91B3-FB681B411504}" xr6:coauthVersionLast="47" xr6:coauthVersionMax="47" xr10:uidLastSave="{00000000-0000-0000-0000-000000000000}"/>
  <bookViews>
    <workbookView xWindow="-108" yWindow="-108" windowWidth="23256" windowHeight="12456" activeTab="1" xr2:uid="{98CFC809-6935-43B7-8F1A-97D7EECB62CA}"/>
  </bookViews>
  <sheets>
    <sheet name="kpi" sheetId="20" r:id="rId1"/>
    <sheet name="dashboard" sheetId="21" r:id="rId2"/>
    <sheet name="dataset" sheetId="18" r:id="rId3"/>
  </sheets>
  <definedNames>
    <definedName name="_xlchart.v1.0" hidden="1">kpi!$AA$12</definedName>
    <definedName name="_xlchart.v1.1" hidden="1">kpi!$AA$13:$AA$15</definedName>
    <definedName name="_xlchart.v1.10" hidden="1">kpi!$AA$13:$AA$15</definedName>
    <definedName name="_xlchart.v1.11" hidden="1">kpi!$Z$13:$Z$15</definedName>
    <definedName name="_xlchart.v1.2" hidden="1">kpi!$Z$13:$Z$15</definedName>
    <definedName name="_xlchart.v1.3" hidden="1">kpi!$S$11:$S$13</definedName>
    <definedName name="_xlchart.v1.4" hidden="1">kpi!$T$10</definedName>
    <definedName name="_xlchart.v1.5" hidden="1">kpi!$T$11:$T$13</definedName>
    <definedName name="_xlchart.v1.6" hidden="1">kpi!$S$11:$S$13</definedName>
    <definedName name="_xlchart.v1.7" hidden="1">kpi!$T$10</definedName>
    <definedName name="_xlchart.v1.8" hidden="1">kpi!$T$11:$T$13</definedName>
    <definedName name="_xlchart.v1.9" hidden="1">kpi!$AA$12</definedName>
    <definedName name="NativeTimeline_Date">#N/A</definedName>
    <definedName name="Slicer_City">#N/A</definedName>
    <definedName name="Slicer_Delivery_Status">#N/A</definedName>
    <definedName name="Slicer_Payment_Mode">#N/A</definedName>
    <definedName name="Slicer_Product_Category">#N/A</definedName>
    <definedName name="Slicer_Product_Sub_Category">#N/A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0" i="20" l="1"/>
  <c r="I2" i="20"/>
  <c r="E11" i="20"/>
  <c r="I13" i="20"/>
  <c r="M19" i="20"/>
  <c r="I16" i="20"/>
  <c r="M24" i="20"/>
  <c r="AA2" i="20"/>
  <c r="M27" i="20"/>
  <c r="H14" i="20"/>
  <c r="H2" i="20"/>
  <c r="T13" i="20"/>
  <c r="A11" i="20"/>
  <c r="T12" i="20"/>
  <c r="M18" i="20"/>
  <c r="AA15" i="20"/>
  <c r="L22" i="20"/>
  <c r="I14" i="20"/>
  <c r="AA14" i="20"/>
  <c r="H16" i="20"/>
  <c r="L18" i="20"/>
  <c r="H15" i="20"/>
  <c r="L20" i="20"/>
  <c r="AD2" i="20"/>
  <c r="L19" i="20"/>
  <c r="M22" i="20"/>
  <c r="L25" i="20"/>
  <c r="L26" i="20"/>
  <c r="M23" i="20"/>
  <c r="E2" i="20"/>
  <c r="A2" i="20"/>
  <c r="M25" i="20"/>
  <c r="L23" i="20"/>
  <c r="M26" i="20"/>
  <c r="I15" i="20"/>
  <c r="L27" i="20"/>
  <c r="H13" i="20"/>
  <c r="L24" i="20"/>
  <c r="AA13" i="20"/>
  <c r="L21" i="20"/>
  <c r="T11" i="20"/>
  <c r="M21" i="20"/>
  <c r="AA16" i="20" l="1"/>
  <c r="H17" i="20"/>
  <c r="L28" i="20"/>
  <c r="M28" i="20"/>
  <c r="I17" i="20"/>
</calcChain>
</file>

<file path=xl/sharedStrings.xml><?xml version="1.0" encoding="utf-8"?>
<sst xmlns="http://schemas.openxmlformats.org/spreadsheetml/2006/main" count="1336" uniqueCount="470">
  <si>
    <t>Product Name</t>
  </si>
  <si>
    <t>City</t>
  </si>
  <si>
    <t>Pune</t>
  </si>
  <si>
    <t>Mumbai</t>
  </si>
  <si>
    <t>Delhi</t>
  </si>
  <si>
    <t>Jaipur</t>
  </si>
  <si>
    <t>Surat</t>
  </si>
  <si>
    <t>Ahmedabad</t>
  </si>
  <si>
    <t>Hyderabad</t>
  </si>
  <si>
    <t>Bengaluru</t>
  </si>
  <si>
    <t>Row Labels</t>
  </si>
  <si>
    <t>Grand Total</t>
  </si>
  <si>
    <t>Date</t>
  </si>
  <si>
    <t>Electronics</t>
  </si>
  <si>
    <t>Clothing</t>
  </si>
  <si>
    <t>Furniture</t>
  </si>
  <si>
    <t>Office Chair</t>
  </si>
  <si>
    <t>Dining Table</t>
  </si>
  <si>
    <t>Jeans</t>
  </si>
  <si>
    <t>Region</t>
  </si>
  <si>
    <t>North</t>
  </si>
  <si>
    <t>South</t>
  </si>
  <si>
    <t>East</t>
  </si>
  <si>
    <t>West</t>
  </si>
  <si>
    <t>Jan</t>
  </si>
  <si>
    <t>Feb</t>
  </si>
  <si>
    <t>Mar</t>
  </si>
  <si>
    <t>Apr</t>
  </si>
  <si>
    <t>May</t>
  </si>
  <si>
    <t>Jun</t>
  </si>
  <si>
    <t>Order ID</t>
  </si>
  <si>
    <t>Customer Name</t>
  </si>
  <si>
    <t>Customer ID</t>
  </si>
  <si>
    <t>Sales Channel</t>
  </si>
  <si>
    <t>Product Category</t>
  </si>
  <si>
    <t>Product Sub-Category</t>
  </si>
  <si>
    <t>Product ID</t>
  </si>
  <si>
    <t>Quantity Sold</t>
  </si>
  <si>
    <t>Unit Price</t>
  </si>
  <si>
    <t>Total Sales</t>
  </si>
  <si>
    <t>Discount %</t>
  </si>
  <si>
    <t>Discount Amount</t>
  </si>
  <si>
    <t>Net Sales</t>
  </si>
  <si>
    <t>Payment Mode</t>
  </si>
  <si>
    <t>Delivery Status</t>
  </si>
  <si>
    <t>Profit Margin %</t>
  </si>
  <si>
    <t>Profit Amount</t>
  </si>
  <si>
    <t>ORD1001</t>
  </si>
  <si>
    <t>Customer 24</t>
  </si>
  <si>
    <t>CUST7493</t>
  </si>
  <si>
    <t>Online</t>
  </si>
  <si>
    <t>Kids</t>
  </si>
  <si>
    <t>Kids Shorts</t>
  </si>
  <si>
    <t>PROD39927</t>
  </si>
  <si>
    <t>Net Banking</t>
  </si>
  <si>
    <t>Delivered</t>
  </si>
  <si>
    <t>ORD1002</t>
  </si>
  <si>
    <t>Customer 99</t>
  </si>
  <si>
    <t>CUST7085</t>
  </si>
  <si>
    <t>Tables</t>
  </si>
  <si>
    <t>Coffee Table</t>
  </si>
  <si>
    <t>PROD36456</t>
  </si>
  <si>
    <t>Cash on Delivery</t>
  </si>
  <si>
    <t>Pending</t>
  </si>
  <si>
    <t>ORD1003</t>
  </si>
  <si>
    <t>Customer 9</t>
  </si>
  <si>
    <t>CUST7314</t>
  </si>
  <si>
    <t>Offline</t>
  </si>
  <si>
    <t>Women</t>
  </si>
  <si>
    <t>Saree</t>
  </si>
  <si>
    <t>PROD92709</t>
  </si>
  <si>
    <t>ORD1004</t>
  </si>
  <si>
    <t>Customer 86</t>
  </si>
  <si>
    <t>CUST4229</t>
  </si>
  <si>
    <t>Kurti</t>
  </si>
  <si>
    <t>PROD86454</t>
  </si>
  <si>
    <t>Credit Card</t>
  </si>
  <si>
    <t>Cancelled</t>
  </si>
  <si>
    <t>ORD1005</t>
  </si>
  <si>
    <t>Customer 93</t>
  </si>
  <si>
    <t>CUST2215</t>
  </si>
  <si>
    <t>Laptops</t>
  </si>
  <si>
    <t>Dell Inspiron</t>
  </si>
  <si>
    <t>PROD68382</t>
  </si>
  <si>
    <t>Debit Card</t>
  </si>
  <si>
    <t>ORD1006</t>
  </si>
  <si>
    <t>Customer 73</t>
  </si>
  <si>
    <t>CUST4034</t>
  </si>
  <si>
    <t>Kids Jacket</t>
  </si>
  <si>
    <t>PROD64579</t>
  </si>
  <si>
    <t>UPI</t>
  </si>
  <si>
    <t>ORD1007</t>
  </si>
  <si>
    <t>Customer 34</t>
  </si>
  <si>
    <t>CUST7326</t>
  </si>
  <si>
    <t>MacBook Air</t>
  </si>
  <si>
    <t>PROD62434</t>
  </si>
  <si>
    <t>ORD1008</t>
  </si>
  <si>
    <t>Customer 1</t>
  </si>
  <si>
    <t>CUST1983</t>
  </si>
  <si>
    <t>Kolkata</t>
  </si>
  <si>
    <t>Smartphones</t>
  </si>
  <si>
    <t>Samsung Galaxy S21</t>
  </si>
  <si>
    <t>PROD95969</t>
  </si>
  <si>
    <t>ORD1009</t>
  </si>
  <si>
    <t>Customer 57</t>
  </si>
  <si>
    <t>CUST2533</t>
  </si>
  <si>
    <t>PROD50824</t>
  </si>
  <si>
    <t>ORD1010</t>
  </si>
  <si>
    <t>Customer 71</t>
  </si>
  <si>
    <t>CUST8861</t>
  </si>
  <si>
    <t>PROD33963</t>
  </si>
  <si>
    <t>ORD1011</t>
  </si>
  <si>
    <t>Customer 28</t>
  </si>
  <si>
    <t>CUST9661</t>
  </si>
  <si>
    <t>Chairs</t>
  </si>
  <si>
    <t>PROD29493</t>
  </si>
  <si>
    <t>ORD1012</t>
  </si>
  <si>
    <t>CUST6470</t>
  </si>
  <si>
    <t>Televisions</t>
  </si>
  <si>
    <t>Samsung QLED</t>
  </si>
  <si>
    <t>PROD37822</t>
  </si>
  <si>
    <t>ORD1013</t>
  </si>
  <si>
    <t>CUST4332</t>
  </si>
  <si>
    <t>Dining Chair</t>
  </si>
  <si>
    <t>PROD12880</t>
  </si>
  <si>
    <t>ORD1014</t>
  </si>
  <si>
    <t>Customer 4</t>
  </si>
  <si>
    <t>CUST8487</t>
  </si>
  <si>
    <t>Study Table</t>
  </si>
  <si>
    <t>PROD90066</t>
  </si>
  <si>
    <t>ORD1015</t>
  </si>
  <si>
    <t>Customer 50</t>
  </si>
  <si>
    <t>CUST1809</t>
  </si>
  <si>
    <t>Chennai</t>
  </si>
  <si>
    <t>OnePlus 9</t>
  </si>
  <si>
    <t>PROD33750</t>
  </si>
  <si>
    <t>ORD1016</t>
  </si>
  <si>
    <t>Customer 11</t>
  </si>
  <si>
    <t>CUST2243</t>
  </si>
  <si>
    <t>PROD30423</t>
  </si>
  <si>
    <t>ORD1017</t>
  </si>
  <si>
    <t>Customer 38</t>
  </si>
  <si>
    <t>CUST9282</t>
  </si>
  <si>
    <t>PROD12891</t>
  </si>
  <si>
    <t>ORD1018</t>
  </si>
  <si>
    <t>Customer 12</t>
  </si>
  <si>
    <t>CUST9564</t>
  </si>
  <si>
    <t>PROD99824</t>
  </si>
  <si>
    <t>ORD1019</t>
  </si>
  <si>
    <t>CUST9381</t>
  </si>
  <si>
    <t>PROD36020</t>
  </si>
  <si>
    <t>ORD1020</t>
  </si>
  <si>
    <t>Customer 30</t>
  </si>
  <si>
    <t>CUST4741</t>
  </si>
  <si>
    <t>PROD87660</t>
  </si>
  <si>
    <t>ORD1021</t>
  </si>
  <si>
    <t>Customer 55</t>
  </si>
  <si>
    <t>CUST9756</t>
  </si>
  <si>
    <t>Sony Bravia</t>
  </si>
  <si>
    <t>PROD52194</t>
  </si>
  <si>
    <t>ORD1022</t>
  </si>
  <si>
    <t>Customer 49</t>
  </si>
  <si>
    <t>CUST6973</t>
  </si>
  <si>
    <t>Sofas</t>
  </si>
  <si>
    <t>Two-Seater Sofa</t>
  </si>
  <si>
    <t>PROD71094</t>
  </si>
  <si>
    <t>ORD1023</t>
  </si>
  <si>
    <t>Customer 42</t>
  </si>
  <si>
    <t>CUST5762</t>
  </si>
  <si>
    <t>HP Pavilion</t>
  </si>
  <si>
    <t>PROD47286</t>
  </si>
  <si>
    <t>ORD1024</t>
  </si>
  <si>
    <t>CUST1897</t>
  </si>
  <si>
    <t>PROD48483</t>
  </si>
  <si>
    <t>ORD1025</t>
  </si>
  <si>
    <t>Customer 92</t>
  </si>
  <si>
    <t>CUST5752</t>
  </si>
  <si>
    <t>PROD84015</t>
  </si>
  <si>
    <t>ORD1026</t>
  </si>
  <si>
    <t>Customer 78</t>
  </si>
  <si>
    <t>CUST5979</t>
  </si>
  <si>
    <t>PROD87073</t>
  </si>
  <si>
    <t>ORD1027</t>
  </si>
  <si>
    <t>Customer 60</t>
  </si>
  <si>
    <t>CUST7652</t>
  </si>
  <si>
    <t>L-Shaped Sofa</t>
  </si>
  <si>
    <t>PROD79997</t>
  </si>
  <si>
    <t>ORD1028</t>
  </si>
  <si>
    <t>Customer 22</t>
  </si>
  <si>
    <t>CUST4096</t>
  </si>
  <si>
    <t>PROD45107</t>
  </si>
  <si>
    <t>ORD1029</t>
  </si>
  <si>
    <t>Customer 36</t>
  </si>
  <si>
    <t>CUST6712</t>
  </si>
  <si>
    <t>PROD38248</t>
  </si>
  <si>
    <t>ORD1030</t>
  </si>
  <si>
    <t>Customer 8</t>
  </si>
  <si>
    <t>CUST7442</t>
  </si>
  <si>
    <t>Men</t>
  </si>
  <si>
    <t>Jacket</t>
  </si>
  <si>
    <t>PROD78471</t>
  </si>
  <si>
    <t>ORD1031</t>
  </si>
  <si>
    <t>Customer 13</t>
  </si>
  <si>
    <t>CUST2182</t>
  </si>
  <si>
    <t>Dress</t>
  </si>
  <si>
    <t>PROD74462</t>
  </si>
  <si>
    <t>ORD1032</t>
  </si>
  <si>
    <t>Customer 41</t>
  </si>
  <si>
    <t>CUST6824</t>
  </si>
  <si>
    <t>PROD98389</t>
  </si>
  <si>
    <t>ORD1033</t>
  </si>
  <si>
    <t>Customer 97</t>
  </si>
  <si>
    <t>CUST7837</t>
  </si>
  <si>
    <t>PROD58729</t>
  </si>
  <si>
    <t>ORD1034</t>
  </si>
  <si>
    <t>Customer 65</t>
  </si>
  <si>
    <t>CUST3930</t>
  </si>
  <si>
    <t>PROD56407</t>
  </si>
  <si>
    <t>ORD1035</t>
  </si>
  <si>
    <t>CUST6838</t>
  </si>
  <si>
    <t>PROD39711</t>
  </si>
  <si>
    <t>ORD1036</t>
  </si>
  <si>
    <t>CUST9398</t>
  </si>
  <si>
    <t>PROD45058</t>
  </si>
  <si>
    <t>ORD1037</t>
  </si>
  <si>
    <t>Customer 62</t>
  </si>
  <si>
    <t>CUST7429</t>
  </si>
  <si>
    <t>LG OLED</t>
  </si>
  <si>
    <t>PROD56392</t>
  </si>
  <si>
    <t>ORD1038</t>
  </si>
  <si>
    <t>Customer 82</t>
  </si>
  <si>
    <t>CUST2286</t>
  </si>
  <si>
    <t>PROD39527</t>
  </si>
  <si>
    <t>ORD1039</t>
  </si>
  <si>
    <t>Customer 37</t>
  </si>
  <si>
    <t>CUST9656</t>
  </si>
  <si>
    <t>iPhone 13</t>
  </si>
  <si>
    <t>PROD32374</t>
  </si>
  <si>
    <t>ORD1040</t>
  </si>
  <si>
    <t>Customer 51</t>
  </si>
  <si>
    <t>CUST7331</t>
  </si>
  <si>
    <t>Recliner Sofa</t>
  </si>
  <si>
    <t>PROD41552</t>
  </si>
  <si>
    <t>ORD1041</t>
  </si>
  <si>
    <t>Customer 61</t>
  </si>
  <si>
    <t>CUST3193</t>
  </si>
  <si>
    <t>PROD55150</t>
  </si>
  <si>
    <t>ORD1042</t>
  </si>
  <si>
    <t>CUST2890</t>
  </si>
  <si>
    <t>PROD69398</t>
  </si>
  <si>
    <t>ORD1043</t>
  </si>
  <si>
    <t>Customer 96</t>
  </si>
  <si>
    <t>CUST4607</t>
  </si>
  <si>
    <t>PROD40738</t>
  </si>
  <si>
    <t>ORD1044</t>
  </si>
  <si>
    <t>CUST4429</t>
  </si>
  <si>
    <t>PROD61030</t>
  </si>
  <si>
    <t>ORD1045</t>
  </si>
  <si>
    <t>Customer 81</t>
  </si>
  <si>
    <t>CUST6679</t>
  </si>
  <si>
    <t>PROD69483</t>
  </si>
  <si>
    <t>ORD1046</t>
  </si>
  <si>
    <t>Customer 84</t>
  </si>
  <si>
    <t>CUST8714</t>
  </si>
  <si>
    <t>PROD22297</t>
  </si>
  <si>
    <t>ORD1047</t>
  </si>
  <si>
    <t>Customer 32</t>
  </si>
  <si>
    <t>CUST9472</t>
  </si>
  <si>
    <t>PROD35494</t>
  </si>
  <si>
    <t>ORD1048</t>
  </si>
  <si>
    <t>Customer 53</t>
  </si>
  <si>
    <t>CUST8720</t>
  </si>
  <si>
    <t>PROD73986</t>
  </si>
  <si>
    <t>ORD1049</t>
  </si>
  <si>
    <t>CUST5993</t>
  </si>
  <si>
    <t>PROD71132</t>
  </si>
  <si>
    <t>ORD1050</t>
  </si>
  <si>
    <t>Customer 100</t>
  </si>
  <si>
    <t>CUST2505</t>
  </si>
  <si>
    <t>PROD53089</t>
  </si>
  <si>
    <t>ORD1051</t>
  </si>
  <si>
    <t>Customer 23</t>
  </si>
  <si>
    <t>CUST6734</t>
  </si>
  <si>
    <t>PROD45401</t>
  </si>
  <si>
    <t>ORD1052</t>
  </si>
  <si>
    <t>CUST4311</t>
  </si>
  <si>
    <t>PROD94427</t>
  </si>
  <si>
    <t>ORD1053</t>
  </si>
  <si>
    <t>CUST1111</t>
  </si>
  <si>
    <t>PROD73216</t>
  </si>
  <si>
    <t>ORD1054</t>
  </si>
  <si>
    <t>Customer 40</t>
  </si>
  <si>
    <t>CUST1355</t>
  </si>
  <si>
    <t>PROD20217</t>
  </si>
  <si>
    <t>ORD1055</t>
  </si>
  <si>
    <t>Customer 39</t>
  </si>
  <si>
    <t>CUST3909</t>
  </si>
  <si>
    <t>PROD27055</t>
  </si>
  <si>
    <t>ORD1056</t>
  </si>
  <si>
    <t>Customer 27</t>
  </si>
  <si>
    <t>CUST6636</t>
  </si>
  <si>
    <t>PROD10897</t>
  </si>
  <si>
    <t>ORD1057</t>
  </si>
  <si>
    <t>Customer 5</t>
  </si>
  <si>
    <t>CUST1207</t>
  </si>
  <si>
    <t>PROD18938</t>
  </si>
  <si>
    <t>ORD1058</t>
  </si>
  <si>
    <t>CUST6307</t>
  </si>
  <si>
    <t>PROD16765</t>
  </si>
  <si>
    <t>ORD1059</t>
  </si>
  <si>
    <t>CUST6216</t>
  </si>
  <si>
    <t>PROD17166</t>
  </si>
  <si>
    <t>ORD1060</t>
  </si>
  <si>
    <t>Customer 64</t>
  </si>
  <si>
    <t>CUST8145</t>
  </si>
  <si>
    <t>PROD30891</t>
  </si>
  <si>
    <t>ORD1061</t>
  </si>
  <si>
    <t>Customer 16</t>
  </si>
  <si>
    <t>CUST8957</t>
  </si>
  <si>
    <t>PROD21749</t>
  </si>
  <si>
    <t>ORD1062</t>
  </si>
  <si>
    <t>Customer 88</t>
  </si>
  <si>
    <t>CUST5935</t>
  </si>
  <si>
    <t>PROD66697</t>
  </si>
  <si>
    <t>ORD1063</t>
  </si>
  <si>
    <t>Customer 33</t>
  </si>
  <si>
    <t>CUST7407</t>
  </si>
  <si>
    <t>PROD27736</t>
  </si>
  <si>
    <t>ORD1064</t>
  </si>
  <si>
    <t>CUST8567</t>
  </si>
  <si>
    <t>PROD90785</t>
  </si>
  <si>
    <t>ORD1065</t>
  </si>
  <si>
    <t>Customer 69</t>
  </si>
  <si>
    <t>CUST6817</t>
  </si>
  <si>
    <t>PROD97125</t>
  </si>
  <si>
    <t>ORD1066</t>
  </si>
  <si>
    <t>CUST6749</t>
  </si>
  <si>
    <t>PROD55276</t>
  </si>
  <si>
    <t>ORD1067</t>
  </si>
  <si>
    <t>Customer 85</t>
  </si>
  <si>
    <t>CUST2196</t>
  </si>
  <si>
    <t>PROD97797</t>
  </si>
  <si>
    <t>ORD1068</t>
  </si>
  <si>
    <t>CUST4053</t>
  </si>
  <si>
    <t>PROD73189</t>
  </si>
  <si>
    <t>ORD1069</t>
  </si>
  <si>
    <t>CUST3751</t>
  </si>
  <si>
    <t>PROD21141</t>
  </si>
  <si>
    <t>ORD1070</t>
  </si>
  <si>
    <t>CUST3803</t>
  </si>
  <si>
    <t>PROD75905</t>
  </si>
  <si>
    <t>ORD1071</t>
  </si>
  <si>
    <t>Customer 6</t>
  </si>
  <si>
    <t>CUST7535</t>
  </si>
  <si>
    <t>Kids T-Shirt</t>
  </si>
  <si>
    <t>PROD60638</t>
  </si>
  <si>
    <t>ORD1072</t>
  </si>
  <si>
    <t>Customer 67</t>
  </si>
  <si>
    <t>CUST6854</t>
  </si>
  <si>
    <t>PROD23612</t>
  </si>
  <si>
    <t>ORD1073</t>
  </si>
  <si>
    <t>Customer 72</t>
  </si>
  <si>
    <t>CUST4969</t>
  </si>
  <si>
    <t>PROD76265</t>
  </si>
  <si>
    <t>ORD1074</t>
  </si>
  <si>
    <t>Customer 26</t>
  </si>
  <si>
    <t>CUST4319</t>
  </si>
  <si>
    <t>PROD57976</t>
  </si>
  <si>
    <t>ORD1075</t>
  </si>
  <si>
    <t>Customer 48</t>
  </si>
  <si>
    <t>CUST4793</t>
  </si>
  <si>
    <t>PROD97911</t>
  </si>
  <si>
    <t>ORD1076</t>
  </si>
  <si>
    <t>CUST2150</t>
  </si>
  <si>
    <t>PROD21662</t>
  </si>
  <si>
    <t>ORD1077</t>
  </si>
  <si>
    <t>CUST4771</t>
  </si>
  <si>
    <t>PROD77433</t>
  </si>
  <si>
    <t>ORD1078</t>
  </si>
  <si>
    <t>Customer 77</t>
  </si>
  <si>
    <t>CUST2370</t>
  </si>
  <si>
    <t>T-Shirt</t>
  </si>
  <si>
    <t>PROD52185</t>
  </si>
  <si>
    <t>ORD1079</t>
  </si>
  <si>
    <t>Customer 29</t>
  </si>
  <si>
    <t>CUST7282</t>
  </si>
  <si>
    <t>PROD81514</t>
  </si>
  <si>
    <t>ORD1080</t>
  </si>
  <si>
    <t>CUST5683</t>
  </si>
  <si>
    <t>Gaming Chair</t>
  </si>
  <si>
    <t>PROD27309</t>
  </si>
  <si>
    <t>ORD1081</t>
  </si>
  <si>
    <t>Customer 47</t>
  </si>
  <si>
    <t>CUST9108</t>
  </si>
  <si>
    <t>PROD68476</t>
  </si>
  <si>
    <t>ORD1082</t>
  </si>
  <si>
    <t>CUST4780</t>
  </si>
  <si>
    <t>PROD19701</t>
  </si>
  <si>
    <t>ORD1083</t>
  </si>
  <si>
    <t>Customer 10</t>
  </si>
  <si>
    <t>CUST9499</t>
  </si>
  <si>
    <t>PROD96732</t>
  </si>
  <si>
    <t>ORD1084</t>
  </si>
  <si>
    <t>CUST7193</t>
  </si>
  <si>
    <t>PROD31347</t>
  </si>
  <si>
    <t>ORD1085</t>
  </si>
  <si>
    <t>CUST5843</t>
  </si>
  <si>
    <t>PROD80921</t>
  </si>
  <si>
    <t>ORD1086</t>
  </si>
  <si>
    <t>CUST3341</t>
  </si>
  <si>
    <t>PROD75086</t>
  </si>
  <si>
    <t>ORD1087</t>
  </si>
  <si>
    <t>CUST1681</t>
  </si>
  <si>
    <t>PROD23562</t>
  </si>
  <si>
    <t>ORD1088</t>
  </si>
  <si>
    <t>CUST7218</t>
  </si>
  <si>
    <t>PROD60399</t>
  </si>
  <si>
    <t>ORD1089</t>
  </si>
  <si>
    <t>CUST8064</t>
  </si>
  <si>
    <t>PROD96804</t>
  </si>
  <si>
    <t>ORD1090</t>
  </si>
  <si>
    <t>CUST8608</t>
  </si>
  <si>
    <t>PROD13470</t>
  </si>
  <si>
    <t>ORD1091</t>
  </si>
  <si>
    <t>CUST8479</t>
  </si>
  <si>
    <t>PROD62046</t>
  </si>
  <si>
    <t>ORD1092</t>
  </si>
  <si>
    <t>CUST3867</t>
  </si>
  <si>
    <t>PROD35831</t>
  </si>
  <si>
    <t>ORD1093</t>
  </si>
  <si>
    <t>Customer 76</t>
  </si>
  <si>
    <t>CUST7972</t>
  </si>
  <si>
    <t>PROD53359</t>
  </si>
  <si>
    <t>ORD1094</t>
  </si>
  <si>
    <t>CUST7624</t>
  </si>
  <si>
    <t>PROD47897</t>
  </si>
  <si>
    <t>ORD1095</t>
  </si>
  <si>
    <t>CUST1241</t>
  </si>
  <si>
    <t>PROD72351</t>
  </si>
  <si>
    <t>ORD1096</t>
  </si>
  <si>
    <t>Customer 3</t>
  </si>
  <si>
    <t>CUST2075</t>
  </si>
  <si>
    <t>PROD42872</t>
  </si>
  <si>
    <t>ORD1097</t>
  </si>
  <si>
    <t>CUST3620</t>
  </si>
  <si>
    <t>PROD90779</t>
  </si>
  <si>
    <t>ORD1098</t>
  </si>
  <si>
    <t>CUST6818</t>
  </si>
  <si>
    <t>PROD53475</t>
  </si>
  <si>
    <t>ORD1099</t>
  </si>
  <si>
    <t>Customer 63</t>
  </si>
  <si>
    <t>CUST9114</t>
  </si>
  <si>
    <t>PROD86873</t>
  </si>
  <si>
    <t>ORD1100</t>
  </si>
  <si>
    <t>CUST8524</t>
  </si>
  <si>
    <t>PROD53515</t>
  </si>
  <si>
    <t>Sum of Total Sales</t>
  </si>
  <si>
    <t>Sum of Net Sales</t>
  </si>
  <si>
    <t>Sum of Discount Amount</t>
  </si>
  <si>
    <t>Sum of Profit Amount</t>
  </si>
  <si>
    <t>Average of Profit Margin %</t>
  </si>
  <si>
    <t>Average of Discount %</t>
  </si>
  <si>
    <t>Average of Net Sales</t>
  </si>
  <si>
    <t>Sum of Quantity Sold</t>
  </si>
  <si>
    <t>Dec</t>
  </si>
  <si>
    <t>Sep</t>
  </si>
  <si>
    <t>Oct</t>
  </si>
  <si>
    <t>Jul</t>
  </si>
  <si>
    <t>Aug</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</si>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</sst>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9" fontId="0" fillId="0" borderId="0" xfId="1" applyFont="1"/>
    <xf numFmtId="0" fontId="0" fillId="0" borderId="1" xfId="0" applyBorder="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pivotButton="1" applyAlignment="1">
      <alignment horizontal="center"/>
    </xf>
    <xf numFmtId="0" fontId="2" fillId="3" borderId="3" xfId="0" applyFont="1" applyFill="1" applyBorder="1"/>
    <xf numFmtId="0" fontId="2" fillId="3" borderId="3" xfId="0" applyFont="1" applyFill="1" applyBorder="1" applyAlignment="1">
      <alignment horizontal="center"/>
    </xf>
    <xf numFmtId="0" fontId="2" fillId="3" borderId="2" xfId="0" applyFont="1" applyFill="1" applyBorder="1" applyAlignment="1">
      <alignment horizontal="center"/>
    </xf>
    <xf numFmtId="14" fontId="0" fillId="0" borderId="1" xfId="0" applyNumberFormat="1" applyBorder="1" applyAlignment="1">
      <alignment horizontal="center"/>
    </xf>
    <xf numFmtId="0" fontId="2" fillId="2" borderId="1" xfId="0" applyFont="1" applyFill="1" applyBorder="1" applyAlignment="1">
      <alignment horizontal="center"/>
    </xf>
    <xf numFmtId="0" fontId="2" fillId="3" borderId="2" xfId="0" applyFont="1" applyFill="1" applyBorder="1" applyAlignment="1">
      <alignment horizontal="left"/>
    </xf>
    <xf numFmtId="10" fontId="0" fillId="0" borderId="0" xfId="0" applyNumberFormat="1"/>
    <xf numFmtId="10" fontId="0" fillId="0" borderId="0" xfId="0" applyNumberFormat="1" applyAlignment="1">
      <alignment horizontal="center"/>
    </xf>
    <xf numFmtId="0" fontId="0" fillId="0" borderId="0" xfId="1" applyNumberFormat="1" applyFont="1"/>
    <xf numFmtId="0" fontId="2" fillId="0" borderId="3" xfId="0" applyFont="1" applyBorder="1" applyAlignment="1">
      <alignment horizontal="left"/>
    </xf>
  </cellXfs>
  <cellStyles count="2">
    <cellStyle name="Normal" xfId="0" builtinId="0"/>
    <cellStyle name="Percent" xfId="1" builtinId="5"/>
  </cellStyles>
  <dxfs count="7">
    <dxf>
      <numFmt numFmtId="14" formatCode="0.00%"/>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FF00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kpi!$H$2</c:f>
          <c:strCache>
            <c:ptCount val="1"/>
            <c:pt idx="0">
              <c:v>2596879.6</c:v>
            </c:pt>
          </c:strCache>
        </c:strRef>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kpi!$H$12</c:f>
              <c:strCache>
                <c:ptCount val="1"/>
                <c:pt idx="0">
                  <c:v>Sum of Net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kpi!$G$13:$G$16</c:f>
              <c:strCache>
                <c:ptCount val="4"/>
                <c:pt idx="0">
                  <c:v>East</c:v>
                </c:pt>
                <c:pt idx="1">
                  <c:v>North</c:v>
                </c:pt>
                <c:pt idx="2">
                  <c:v>South</c:v>
                </c:pt>
                <c:pt idx="3">
                  <c:v>West</c:v>
                </c:pt>
              </c:strCache>
            </c:strRef>
          </c:cat>
          <c:val>
            <c:numRef>
              <c:f>kpi!$H$13:$H$16</c:f>
              <c:numCache>
                <c:formatCode>General</c:formatCode>
                <c:ptCount val="4"/>
                <c:pt idx="0">
                  <c:v>826095.08000000007</c:v>
                </c:pt>
                <c:pt idx="1">
                  <c:v>966109.9</c:v>
                </c:pt>
                <c:pt idx="2">
                  <c:v>453241.50000000006</c:v>
                </c:pt>
                <c:pt idx="3">
                  <c:v>351433.12</c:v>
                </c:pt>
              </c:numCache>
            </c:numRef>
          </c:val>
          <c:extLst>
            <c:ext xmlns:c16="http://schemas.microsoft.com/office/drawing/2014/chart" uri="{C3380CC4-5D6E-409C-BE32-E72D297353CC}">
              <c16:uniqueId val="{00000000-295E-4114-A499-245B9E6B76F3}"/>
            </c:ext>
          </c:extLst>
        </c:ser>
        <c:dLbls>
          <c:showLegendKey val="0"/>
          <c:showVal val="0"/>
          <c:showCatName val="0"/>
          <c:showSerName val="0"/>
          <c:showPercent val="0"/>
          <c:showBubbleSize val="0"/>
        </c:dLbls>
        <c:gapWidth val="219"/>
        <c:overlap val="-27"/>
        <c:axId val="311736079"/>
        <c:axId val="311737039"/>
      </c:barChart>
      <c:lineChart>
        <c:grouping val="standard"/>
        <c:varyColors val="0"/>
        <c:ser>
          <c:idx val="1"/>
          <c:order val="1"/>
          <c:tx>
            <c:strRef>
              <c:f>kpi!$I$12</c:f>
              <c:strCache>
                <c:ptCount val="1"/>
                <c:pt idx="0">
                  <c:v>Sum of Profit Amount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kpi!$G$13:$G$16</c:f>
              <c:strCache>
                <c:ptCount val="4"/>
                <c:pt idx="0">
                  <c:v>East</c:v>
                </c:pt>
                <c:pt idx="1">
                  <c:v>North</c:v>
                </c:pt>
                <c:pt idx="2">
                  <c:v>South</c:v>
                </c:pt>
                <c:pt idx="3">
                  <c:v>West</c:v>
                </c:pt>
              </c:strCache>
            </c:strRef>
          </c:cat>
          <c:val>
            <c:numRef>
              <c:f>kpi!$I$13:$I$16</c:f>
              <c:numCache>
                <c:formatCode>0.00%</c:formatCode>
                <c:ptCount val="4"/>
                <c:pt idx="0">
                  <c:v>0.3364219165996597</c:v>
                </c:pt>
                <c:pt idx="1">
                  <c:v>0.38059913271508494</c:v>
                </c:pt>
                <c:pt idx="2">
                  <c:v>0.17917470878799488</c:v>
                </c:pt>
                <c:pt idx="3">
                  <c:v>0.10380424189726042</c:v>
                </c:pt>
              </c:numCache>
            </c:numRef>
          </c:val>
          <c:smooth val="0"/>
          <c:extLst>
            <c:ext xmlns:c16="http://schemas.microsoft.com/office/drawing/2014/chart" uri="{C3380CC4-5D6E-409C-BE32-E72D297353CC}">
              <c16:uniqueId val="{00000001-295E-4114-A499-245B9E6B76F3}"/>
            </c:ext>
          </c:extLst>
        </c:ser>
        <c:dLbls>
          <c:showLegendKey val="0"/>
          <c:showVal val="0"/>
          <c:showCatName val="0"/>
          <c:showSerName val="0"/>
          <c:showPercent val="0"/>
          <c:showBubbleSize val="0"/>
        </c:dLbls>
        <c:marker val="1"/>
        <c:smooth val="0"/>
        <c:axId val="311767279"/>
        <c:axId val="311773999"/>
      </c:lineChart>
      <c:catAx>
        <c:axId val="3117360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1737039"/>
        <c:crosses val="autoZero"/>
        <c:auto val="1"/>
        <c:lblAlgn val="ctr"/>
        <c:lblOffset val="100"/>
        <c:noMultiLvlLbl val="0"/>
      </c:catAx>
      <c:valAx>
        <c:axId val="3117370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1736079"/>
        <c:crosses val="autoZero"/>
        <c:crossBetween val="between"/>
      </c:valAx>
      <c:valAx>
        <c:axId val="311773999"/>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1767279"/>
        <c:crosses val="max"/>
        <c:crossBetween val="between"/>
      </c:valAx>
      <c:catAx>
        <c:axId val="311767279"/>
        <c:scaling>
          <c:orientation val="minMax"/>
        </c:scaling>
        <c:delete val="1"/>
        <c:axPos val="b"/>
        <c:numFmt formatCode="General" sourceLinked="1"/>
        <c:majorTickMark val="none"/>
        <c:minorTickMark val="none"/>
        <c:tickLblPos val="nextTo"/>
        <c:crossAx val="311773999"/>
        <c:crosses val="autoZero"/>
        <c:auto val="1"/>
        <c:lblAlgn val="ctr"/>
        <c:lblOffset val="100"/>
        <c:noMultiLvlLbl val="0"/>
      </c:cat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[excel_dashboard1.xlsx]kpi!citysale</c:name>
    <c:fmtId val="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kpi!$L$3</c:f>
              <c:strCache>
                <c:ptCount val="1"/>
                <c:pt idx="0">
                  <c:v>Sum of Net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kpi!$K$4:$K$14</c:f>
              <c:strCache>
                <c:ptCount val="10"/>
                <c:pt idx="0">
                  <c:v>Ahmedabad</c:v>
                </c:pt>
                <c:pt idx="1">
                  <c:v>Bengaluru</c:v>
                </c:pt>
                <c:pt idx="2">
                  <c:v>Chennai</c:v>
                </c:pt>
                <c:pt idx="3">
                  <c:v>Delhi</c:v>
                </c:pt>
                <c:pt idx="4">
                  <c:v>Hyderabad</c:v>
                </c:pt>
                <c:pt idx="5">
                  <c:v>Jaipur</c:v>
                </c:pt>
                <c:pt idx="6">
                  <c:v>Kolkata</c:v>
                </c:pt>
                <c:pt idx="7">
                  <c:v>Mumbai</c:v>
                </c:pt>
                <c:pt idx="8">
                  <c:v>Pune</c:v>
                </c:pt>
                <c:pt idx="9">
                  <c:v>Surat</c:v>
                </c:pt>
              </c:strCache>
            </c:strRef>
          </c:cat>
          <c:val>
            <c:numRef>
              <c:f>kpi!$L$4:$L$14</c:f>
              <c:numCache>
                <c:formatCode>General</c:formatCode>
                <c:ptCount val="10"/>
                <c:pt idx="0">
                  <c:v>228175.44000000003</c:v>
                </c:pt>
                <c:pt idx="1">
                  <c:v>201929.59999999998</c:v>
                </c:pt>
                <c:pt idx="2">
                  <c:v>161184.26</c:v>
                </c:pt>
                <c:pt idx="3">
                  <c:v>256159.78000000003</c:v>
                </c:pt>
                <c:pt idx="4">
                  <c:v>298477.91999999993</c:v>
                </c:pt>
                <c:pt idx="5">
                  <c:v>440705.97000000003</c:v>
                </c:pt>
                <c:pt idx="6">
                  <c:v>245565.25999999998</c:v>
                </c:pt>
                <c:pt idx="7">
                  <c:v>183617.07000000004</c:v>
                </c:pt>
                <c:pt idx="8">
                  <c:v>267804.78000000003</c:v>
                </c:pt>
                <c:pt idx="9">
                  <c:v>313259.52000000002</c:v>
                </c:pt>
              </c:numCache>
            </c:numRef>
          </c:val>
          <c:extLst>
            <c:ext xmlns:c16="http://schemas.microsoft.com/office/drawing/2014/chart" uri="{C3380CC4-5D6E-409C-BE32-E72D297353CC}">
              <c16:uniqueId val="{00000000-F7CA-4220-9472-ED201C7C76D9}"/>
            </c:ext>
          </c:extLst>
        </c:ser>
        <c:dLbls>
          <c:showLegendKey val="0"/>
          <c:showVal val="0"/>
          <c:showCatName val="0"/>
          <c:showSerName val="0"/>
          <c:showPercent val="0"/>
          <c:showBubbleSize val="0"/>
        </c:dLbls>
        <c:axId val="311773039"/>
        <c:axId val="311763439"/>
      </c:areaChart>
      <c:lineChart>
        <c:grouping val="standard"/>
        <c:varyColors val="0"/>
        <c:ser>
          <c:idx val="1"/>
          <c:order val="1"/>
          <c:tx>
            <c:strRef>
              <c:f>kpi!$M$3</c:f>
              <c:strCache>
                <c:ptCount val="1"/>
                <c:pt idx="0">
                  <c:v>Sum of Profit Amount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kpi!$K$4:$K$14</c:f>
              <c:strCache>
                <c:ptCount val="10"/>
                <c:pt idx="0">
                  <c:v>Ahmedabad</c:v>
                </c:pt>
                <c:pt idx="1">
                  <c:v>Bengaluru</c:v>
                </c:pt>
                <c:pt idx="2">
                  <c:v>Chennai</c:v>
                </c:pt>
                <c:pt idx="3">
                  <c:v>Delhi</c:v>
                </c:pt>
                <c:pt idx="4">
                  <c:v>Hyderabad</c:v>
                </c:pt>
                <c:pt idx="5">
                  <c:v>Jaipur</c:v>
                </c:pt>
                <c:pt idx="6">
                  <c:v>Kolkata</c:v>
                </c:pt>
                <c:pt idx="7">
                  <c:v>Mumbai</c:v>
                </c:pt>
                <c:pt idx="8">
                  <c:v>Pune</c:v>
                </c:pt>
                <c:pt idx="9">
                  <c:v>Surat</c:v>
                </c:pt>
              </c:strCache>
            </c:strRef>
          </c:cat>
          <c:val>
            <c:numRef>
              <c:f>kpi!$M$4:$M$14</c:f>
              <c:numCache>
                <c:formatCode>0.00%</c:formatCode>
                <c:ptCount val="10"/>
                <c:pt idx="0">
                  <c:v>9.4726138518558822E-2</c:v>
                </c:pt>
                <c:pt idx="1">
                  <c:v>6.8511598786645062E-2</c:v>
                </c:pt>
                <c:pt idx="2">
                  <c:v>6.3128618277573753E-2</c:v>
                </c:pt>
                <c:pt idx="3">
                  <c:v>8.5110724312966554E-2</c:v>
                </c:pt>
                <c:pt idx="4">
                  <c:v>0.11837143390250859</c:v>
                </c:pt>
                <c:pt idx="5">
                  <c:v>0.16182359429455423</c:v>
                </c:pt>
                <c:pt idx="6">
                  <c:v>0.13004204663404986</c:v>
                </c:pt>
                <c:pt idx="7">
                  <c:v>6.1421582396018297E-2</c:v>
                </c:pt>
                <c:pt idx="8">
                  <c:v>9.7154857313263177E-2</c:v>
                </c:pt>
                <c:pt idx="9">
                  <c:v>0.11970940556386162</c:v>
                </c:pt>
              </c:numCache>
            </c:numRef>
          </c:val>
          <c:smooth val="0"/>
          <c:extLst>
            <c:ext xmlns:c16="http://schemas.microsoft.com/office/drawing/2014/chart" uri="{C3380CC4-5D6E-409C-BE32-E72D297353CC}">
              <c16:uniqueId val="{00000001-F7CA-4220-9472-ED201C7C76D9}"/>
            </c:ext>
          </c:extLst>
        </c:ser>
        <c:dLbls>
          <c:showLegendKey val="0"/>
          <c:showVal val="0"/>
          <c:showCatName val="0"/>
          <c:showSerName val="0"/>
          <c:showPercent val="0"/>
          <c:showBubbleSize val="0"/>
        </c:dLbls>
        <c:marker val="1"/>
        <c:smooth val="0"/>
        <c:axId val="1749835631"/>
        <c:axId val="1749856271"/>
      </c:lineChart>
      <c:catAx>
        <c:axId val="3117730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1763439"/>
        <c:crosses val="autoZero"/>
        <c:auto val="1"/>
        <c:lblAlgn val="ctr"/>
        <c:lblOffset val="100"/>
        <c:noMultiLvlLbl val="0"/>
      </c:catAx>
      <c:valAx>
        <c:axId val="3117634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1773039"/>
        <c:crosses val="autoZero"/>
        <c:crossBetween val="between"/>
      </c:valAx>
      <c:valAx>
        <c:axId val="1749856271"/>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9835631"/>
        <c:crosses val="max"/>
        <c:crossBetween val="between"/>
      </c:valAx>
      <c:catAx>
        <c:axId val="1749835631"/>
        <c:scaling>
          <c:orientation val="minMax"/>
        </c:scaling>
        <c:delete val="1"/>
        <c:axPos val="b"/>
        <c:numFmt formatCode="General" sourceLinked="1"/>
        <c:majorTickMark val="none"/>
        <c:minorTickMark val="none"/>
        <c:tickLblPos val="nextTo"/>
        <c:crossAx val="174985627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[excel_dashboard1.xlsx]kpi!channelsale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Online/Offline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190859047641404"/>
          <c:y val="0.28624824838616397"/>
          <c:w val="0.50978070695211086"/>
          <c:h val="0.55540833588744776"/>
        </c:manualLayout>
      </c:layout>
      <c:pieChart>
        <c:varyColors val="1"/>
        <c:ser>
          <c:idx val="0"/>
          <c:order val="0"/>
          <c:tx>
            <c:strRef>
              <c:f>kpi!$P$3</c:f>
              <c:strCache>
                <c:ptCount val="1"/>
                <c:pt idx="0">
                  <c:v>Sum of Net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9E62-465A-A329-2B7C667AC9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B0-4343-B325-6FAB0B32BB80}"/>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kpi!$O$4:$O$6</c:f>
              <c:strCache>
                <c:ptCount val="2"/>
                <c:pt idx="0">
                  <c:v>Offline</c:v>
                </c:pt>
                <c:pt idx="1">
                  <c:v>Online</c:v>
                </c:pt>
              </c:strCache>
            </c:strRef>
          </c:cat>
          <c:val>
            <c:numRef>
              <c:f>kpi!$P$4:$P$6</c:f>
              <c:numCache>
                <c:formatCode>General</c:formatCode>
                <c:ptCount val="2"/>
                <c:pt idx="0">
                  <c:v>979080.7300000001</c:v>
                </c:pt>
                <c:pt idx="1">
                  <c:v>1617798.8700000003</c:v>
                </c:pt>
              </c:numCache>
            </c:numRef>
          </c:val>
          <c:extLst>
            <c:ext xmlns:c16="http://schemas.microsoft.com/office/drawing/2014/chart" uri="{C3380CC4-5D6E-409C-BE32-E72D297353CC}">
              <c16:uniqueId val="{00000000-9E62-465A-A329-2B7C667AC930}"/>
            </c:ext>
          </c:extLst>
        </c:ser>
        <c:ser>
          <c:idx val="1"/>
          <c:order val="1"/>
          <c:tx>
            <c:strRef>
              <c:f>kpi!$Q$3</c:f>
              <c:strCache>
                <c:ptCount val="1"/>
                <c:pt idx="0">
                  <c:v>Average of Discount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FDF8-424F-82CE-499B900ABA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71B0-4343-B325-6FAB0B32BB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kpi!$O$4:$O$6</c:f>
              <c:strCache>
                <c:ptCount val="2"/>
                <c:pt idx="0">
                  <c:v>Offline</c:v>
                </c:pt>
                <c:pt idx="1">
                  <c:v>Online</c:v>
                </c:pt>
              </c:strCache>
            </c:strRef>
          </c:cat>
          <c:val>
            <c:numRef>
              <c:f>kpi!$Q$4:$Q$6</c:f>
              <c:numCache>
                <c:formatCode>General</c:formatCode>
                <c:ptCount val="2"/>
                <c:pt idx="0">
                  <c:v>14.134358974358975</c:v>
                </c:pt>
                <c:pt idx="1">
                  <c:v>16.065409836065577</c:v>
                </c:pt>
              </c:numCache>
            </c:numRef>
          </c:val>
          <c:extLst>
            <c:ext xmlns:c16="http://schemas.microsoft.com/office/drawing/2014/chart" uri="{C3380CC4-5D6E-409C-BE32-E72D297353CC}">
              <c16:uniqueId val="{00000001-9E62-465A-A329-2B7C667AC930}"/>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[excel_dashboard1.xlsx]kpi!subproduct</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kpi!$AG$3</c:f>
              <c:strCache>
                <c:ptCount val="1"/>
                <c:pt idx="0">
                  <c:v>Sum of Net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kpi!$AF$4:$AF$13</c:f>
              <c:strCache>
                <c:ptCount val="9"/>
                <c:pt idx="0">
                  <c:v>Chairs</c:v>
                </c:pt>
                <c:pt idx="1">
                  <c:v>Kids</c:v>
                </c:pt>
                <c:pt idx="2">
                  <c:v>Laptops</c:v>
                </c:pt>
                <c:pt idx="3">
                  <c:v>Men</c:v>
                </c:pt>
                <c:pt idx="4">
                  <c:v>Smartphones</c:v>
                </c:pt>
                <c:pt idx="5">
                  <c:v>Sofas</c:v>
                </c:pt>
                <c:pt idx="6">
                  <c:v>Tables</c:v>
                </c:pt>
                <c:pt idx="7">
                  <c:v>Televisions</c:v>
                </c:pt>
                <c:pt idx="8">
                  <c:v>Women</c:v>
                </c:pt>
              </c:strCache>
            </c:strRef>
          </c:cat>
          <c:val>
            <c:numRef>
              <c:f>kpi!$AG$4:$AG$13</c:f>
              <c:numCache>
                <c:formatCode>General</c:formatCode>
                <c:ptCount val="9"/>
                <c:pt idx="0">
                  <c:v>152516.31</c:v>
                </c:pt>
                <c:pt idx="1">
                  <c:v>253490.11</c:v>
                </c:pt>
                <c:pt idx="2">
                  <c:v>365831.69</c:v>
                </c:pt>
                <c:pt idx="3">
                  <c:v>204084.56</c:v>
                </c:pt>
                <c:pt idx="4">
                  <c:v>237749.33000000002</c:v>
                </c:pt>
                <c:pt idx="5">
                  <c:v>275495.52999999997</c:v>
                </c:pt>
                <c:pt idx="6">
                  <c:v>391026.29000000004</c:v>
                </c:pt>
                <c:pt idx="7">
                  <c:v>215461.47000000003</c:v>
                </c:pt>
                <c:pt idx="8">
                  <c:v>501224.31</c:v>
                </c:pt>
              </c:numCache>
            </c:numRef>
          </c:val>
          <c:extLst>
            <c:ext xmlns:c16="http://schemas.microsoft.com/office/drawing/2014/chart" uri="{C3380CC4-5D6E-409C-BE32-E72D297353CC}">
              <c16:uniqueId val="{00000000-5B31-42D4-86D3-F6C10F28427C}"/>
            </c:ext>
          </c:extLst>
        </c:ser>
        <c:dLbls>
          <c:showLegendKey val="0"/>
          <c:showVal val="1"/>
          <c:showCatName val="0"/>
          <c:showSerName val="0"/>
          <c:showPercent val="0"/>
          <c:showBubbleSize val="0"/>
        </c:dLbls>
        <c:gapWidth val="32"/>
        <c:overlap val="96"/>
        <c:axId val="601887183"/>
        <c:axId val="601883823"/>
      </c:barChart>
      <c:barChart>
        <c:barDir val="col"/>
        <c:grouping val="clustered"/>
        <c:varyColors val="0"/>
        <c:ser>
          <c:idx val="1"/>
          <c:order val="1"/>
          <c:tx>
            <c:strRef>
              <c:f>kpi!$AH$3</c:f>
              <c:strCache>
                <c:ptCount val="1"/>
                <c:pt idx="0">
                  <c:v>Sum of Quantity Sold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kpi!$AF$4:$AF$13</c:f>
              <c:strCache>
                <c:ptCount val="9"/>
                <c:pt idx="0">
                  <c:v>Chairs</c:v>
                </c:pt>
                <c:pt idx="1">
                  <c:v>Kids</c:v>
                </c:pt>
                <c:pt idx="2">
                  <c:v>Laptops</c:v>
                </c:pt>
                <c:pt idx="3">
                  <c:v>Men</c:v>
                </c:pt>
                <c:pt idx="4">
                  <c:v>Smartphones</c:v>
                </c:pt>
                <c:pt idx="5">
                  <c:v>Sofas</c:v>
                </c:pt>
                <c:pt idx="6">
                  <c:v>Tables</c:v>
                </c:pt>
                <c:pt idx="7">
                  <c:v>Televisions</c:v>
                </c:pt>
                <c:pt idx="8">
                  <c:v>Women</c:v>
                </c:pt>
              </c:strCache>
            </c:strRef>
          </c:cat>
          <c:val>
            <c:numRef>
              <c:f>kpi!$AH$4:$AH$13</c:f>
              <c:numCache>
                <c:formatCode>0.00%</c:formatCode>
                <c:ptCount val="9"/>
                <c:pt idx="0">
                  <c:v>6.4846416382252553E-2</c:v>
                </c:pt>
                <c:pt idx="1">
                  <c:v>9.7269624573378843E-2</c:v>
                </c:pt>
                <c:pt idx="2">
                  <c:v>0.1348122866894198</c:v>
                </c:pt>
                <c:pt idx="3">
                  <c:v>9.7269624573378843E-2</c:v>
                </c:pt>
                <c:pt idx="4">
                  <c:v>0.11262798634812286</c:v>
                </c:pt>
                <c:pt idx="5">
                  <c:v>9.2150170648464161E-2</c:v>
                </c:pt>
                <c:pt idx="6">
                  <c:v>0.14163822525597269</c:v>
                </c:pt>
                <c:pt idx="7">
                  <c:v>8.8737201365187715E-2</c:v>
                </c:pt>
                <c:pt idx="8">
                  <c:v>0.17064846416382254</c:v>
                </c:pt>
              </c:numCache>
            </c:numRef>
          </c:val>
          <c:extLst>
            <c:ext xmlns:c16="http://schemas.microsoft.com/office/drawing/2014/chart" uri="{C3380CC4-5D6E-409C-BE32-E72D297353CC}">
              <c16:uniqueId val="{00000001-5B31-42D4-86D3-F6C10F28427C}"/>
            </c:ext>
          </c:extLst>
        </c:ser>
        <c:dLbls>
          <c:showLegendKey val="0"/>
          <c:showVal val="1"/>
          <c:showCatName val="0"/>
          <c:showSerName val="0"/>
          <c:showPercent val="0"/>
          <c:showBubbleSize val="0"/>
        </c:dLbls>
        <c:gapWidth val="219"/>
        <c:overlap val="-27"/>
        <c:axId val="601915503"/>
        <c:axId val="601916463"/>
      </c:barChart>
      <c:catAx>
        <c:axId val="601887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1883823"/>
        <c:crosses val="autoZero"/>
        <c:auto val="1"/>
        <c:lblAlgn val="ctr"/>
        <c:lblOffset val="100"/>
        <c:noMultiLvlLbl val="0"/>
      </c:catAx>
      <c:valAx>
        <c:axId val="601883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1887183"/>
        <c:crosses val="autoZero"/>
        <c:crossBetween val="between"/>
      </c:valAx>
      <c:valAx>
        <c:axId val="601916463"/>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1915503"/>
        <c:crosses val="max"/>
        <c:crossBetween val="between"/>
      </c:valAx>
      <c:catAx>
        <c:axId val="601915503"/>
        <c:scaling>
          <c:orientation val="minMax"/>
        </c:scaling>
        <c:delete val="1"/>
        <c:axPos val="b"/>
        <c:numFmt formatCode="General" sourceLinked="1"/>
        <c:majorTickMark val="none"/>
        <c:minorTickMark val="none"/>
        <c:tickLblPos val="nextTo"/>
        <c:crossAx val="60191646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[excel_dashboard1.xlsx]kpi!paymentmode</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dLbl>
          <c:idx val="0"/>
          <c:layout>
            <c:manualLayout>
              <c:x val="0.20120724346076457"/>
              <c:y val="-6.9444444444444406E-3"/>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724346076458753"/>
                  <c:h val="0.15726851851851853"/>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dLbl>
          <c:idx val="0"/>
          <c:layout>
            <c:manualLayout>
              <c:x val="0.22937641597617214"/>
              <c:y val="6.0185002916302126E-2"/>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907444668008043"/>
                  <c:h val="0.11104184893554971"/>
                </c:manualLayout>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dLbl>
          <c:idx val="0"/>
          <c:layout>
            <c:manualLayout>
              <c:x val="-0.35412474849094566"/>
              <c:y val="-5.0925925925925923E-2"/>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943661971830985"/>
                  <c:h val="0.15263888888888888"/>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dLbl>
          <c:idx val="0"/>
          <c:layout>
            <c:manualLayout>
              <c:x val="-0.20724361919548789"/>
              <c:y val="9.9537037037036993E-2"/>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126760563380279"/>
                  <c:h val="0.12949074074074074"/>
                </c:manualLayout>
              </c15:layout>
            </c:ext>
          </c:extLst>
        </c:dLbl>
      </c:pivotFmt>
    </c:pivotFmts>
    <c:plotArea>
      <c:layout/>
      <c:doughnutChart>
        <c:varyColors val="1"/>
        <c:ser>
          <c:idx val="0"/>
          <c:order val="0"/>
          <c:tx>
            <c:strRef>
              <c:f>kpi!$X$3</c:f>
              <c:strCache>
                <c:ptCount val="1"/>
                <c:pt idx="0">
                  <c:v>Total</c:v>
                </c:pt>
              </c:strCache>
            </c:strRef>
          </c:tx>
          <c:spPr>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c:spPr>
          <c:explosion val="1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BCD2-4E1B-A1E6-C0C29B03E16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442-490B-9F68-855469A9E40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442-490B-9F68-855469A9E40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442-490B-9F68-855469A9E40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442-490B-9F68-855469A9E407}"/>
              </c:ext>
            </c:extLst>
          </c:dPt>
          <c:dLbls>
            <c:dLbl>
              <c:idx val="0"/>
              <c:layout>
                <c:manualLayout>
                  <c:x val="0.20120724346076457"/>
                  <c:y val="-6.9444444444444406E-3"/>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724346076458753"/>
                      <c:h val="0.15726851851851853"/>
                    </c:manualLayout>
                  </c15:layout>
                </c:ext>
                <c:ext xmlns:c16="http://schemas.microsoft.com/office/drawing/2014/chart" uri="{C3380CC4-5D6E-409C-BE32-E72D297353CC}">
                  <c16:uniqueId val="{00000002-BCD2-4E1B-A1E6-C0C29B03E16B}"/>
                </c:ext>
              </c:extLst>
            </c:dLbl>
            <c:dLbl>
              <c:idx val="1"/>
              <c:layout>
                <c:manualLayout>
                  <c:x val="0.22937641597617214"/>
                  <c:y val="6.0185002916302126E-2"/>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907444668008043"/>
                      <c:h val="0.11104184893554971"/>
                    </c:manualLayout>
                  </c15:layout>
                </c:ext>
                <c:ext xmlns:c16="http://schemas.microsoft.com/office/drawing/2014/chart" uri="{C3380CC4-5D6E-409C-BE32-E72D297353CC}">
                  <c16:uniqueId val="{00000003-3442-490B-9F68-855469A9E407}"/>
                </c:ext>
              </c:extLst>
            </c:dLbl>
            <c:dLbl>
              <c:idx val="2"/>
              <c:layout>
                <c:manualLayout>
                  <c:x val="-0.35412474849094566"/>
                  <c:y val="-5.0925925925925923E-2"/>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943661971830985"/>
                      <c:h val="0.15263888888888888"/>
                    </c:manualLayout>
                  </c15:layout>
                </c:ext>
                <c:ext xmlns:c16="http://schemas.microsoft.com/office/drawing/2014/chart" uri="{C3380CC4-5D6E-409C-BE32-E72D297353CC}">
                  <c16:uniqueId val="{00000005-3442-490B-9F68-855469A9E4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kpi!$W$4:$W$9</c:f>
              <c:strCache>
                <c:ptCount val="5"/>
                <c:pt idx="0">
                  <c:v>Cash on Delivery</c:v>
                </c:pt>
                <c:pt idx="1">
                  <c:v>Credit Card</c:v>
                </c:pt>
                <c:pt idx="2">
                  <c:v>Debit Card</c:v>
                </c:pt>
                <c:pt idx="3">
                  <c:v>Net Banking</c:v>
                </c:pt>
                <c:pt idx="4">
                  <c:v>UPI</c:v>
                </c:pt>
              </c:strCache>
            </c:strRef>
          </c:cat>
          <c:val>
            <c:numRef>
              <c:f>kpi!$X$4:$X$9</c:f>
              <c:numCache>
                <c:formatCode>General</c:formatCode>
                <c:ptCount val="5"/>
                <c:pt idx="0">
                  <c:v>26603.502222222225</c:v>
                </c:pt>
                <c:pt idx="1">
                  <c:v>17362.620000000003</c:v>
                </c:pt>
                <c:pt idx="2">
                  <c:v>35781.442941176465</c:v>
                </c:pt>
                <c:pt idx="3">
                  <c:v>20818.668888888889</c:v>
                </c:pt>
                <c:pt idx="4">
                  <c:v>28080.115909090906</c:v>
                </c:pt>
              </c:numCache>
            </c:numRef>
          </c:val>
          <c:extLst>
            <c:ext xmlns:c16="http://schemas.microsoft.com/office/drawing/2014/chart" uri="{C3380CC4-5D6E-409C-BE32-E72D297353CC}">
              <c16:uniqueId val="{00000000-BCD2-4E1B-A1E6-C0C29B03E16B}"/>
            </c:ext>
          </c:extLst>
        </c:ser>
        <c:dLbls>
          <c:showLegendKey val="0"/>
          <c:showVal val="1"/>
          <c:showCatName val="0"/>
          <c:showSerName val="0"/>
          <c:showPercent val="0"/>
          <c:showBubbleSize val="0"/>
          <c:showLeaderLines val="1"/>
        </c:dLbls>
        <c:firstSliceAng val="40"/>
        <c:holeSize val="49"/>
      </c:doughnutChart>
      <c:spPr>
        <a:noFill/>
        <a:ln>
          <a:solidFill>
            <a:schemeClr val="accent1"/>
          </a:solid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[excel_dashboard1.xlsx]kpi!PivotTable36</c:name>
    <c:fmtId val="0"/>
  </c:pivotSource>
  <c:chart>
    <c:title>
      <c:tx>
        <c:strRef>
          <c:f>kpi!$AD$2</c:f>
          <c:strCache>
            <c:ptCount val="1"/>
            <c:pt idx="0">
              <c:v>2596879.6</c:v>
            </c:pt>
          </c:strCache>
        </c:strRef>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dk1">
                <a:tint val="88500"/>
              </a:schemeClr>
            </a:solidFill>
            <a:miter lim="800000"/>
          </a:ln>
          <a:effectLst>
            <a:glow rad="63500">
              <a:schemeClr val="dk1">
                <a:tint val="885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kpi!$AD$2</c:f>
              <c:strCache>
                <c:ptCount val="1"/>
                <c:pt idx="0">
                  <c:v>Total</c:v>
                </c:pt>
              </c:strCache>
            </c:strRef>
          </c:tx>
          <c:spPr>
            <a:noFill/>
            <a:ln w="9525" cap="flat" cmpd="sng" algn="ctr">
              <a:solidFill>
                <a:schemeClr val="dk1">
                  <a:tint val="88500"/>
                </a:schemeClr>
              </a:solidFill>
              <a:miter lim="800000"/>
            </a:ln>
            <a:effectLst>
              <a:glow rad="63500">
                <a:schemeClr val="dk1">
                  <a:tint val="885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kpi!$AD$2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kpi!$AD$2</c:f>
              <c:numCache>
                <c:formatCode>General</c:formatCode>
                <c:ptCount val="12"/>
                <c:pt idx="0">
                  <c:v>297079.36</c:v>
                </c:pt>
                <c:pt idx="1">
                  <c:v>179149.91999999998</c:v>
                </c:pt>
                <c:pt idx="2">
                  <c:v>117730.97000000002</c:v>
                </c:pt>
                <c:pt idx="3">
                  <c:v>124289.93999999999</c:v>
                </c:pt>
                <c:pt idx="4">
                  <c:v>174267.71</c:v>
                </c:pt>
                <c:pt idx="5">
                  <c:v>140830.71</c:v>
                </c:pt>
                <c:pt idx="6">
                  <c:v>187190.36000000002</c:v>
                </c:pt>
                <c:pt idx="7">
                  <c:v>324978.12</c:v>
                </c:pt>
                <c:pt idx="8">
                  <c:v>295268.86</c:v>
                </c:pt>
                <c:pt idx="9">
                  <c:v>343484.39</c:v>
                </c:pt>
                <c:pt idx="10">
                  <c:v>104628.79000000001</c:v>
                </c:pt>
                <c:pt idx="11">
                  <c:v>307980.46999999997</c:v>
                </c:pt>
              </c:numCache>
            </c:numRef>
          </c:val>
          <c:extLst>
            <c:ext xmlns:c16="http://schemas.microsoft.com/office/drawing/2014/chart" uri="{C3380CC4-5D6E-409C-BE32-E72D297353CC}">
              <c16:uniqueId val="{00000000-8AD6-4416-BF9A-952E86CA600E}"/>
            </c:ext>
          </c:extLst>
        </c:ser>
        <c:dLbls>
          <c:showLegendKey val="0"/>
          <c:showVal val="1"/>
          <c:showCatName val="0"/>
          <c:showSerName val="0"/>
          <c:showPercent val="0"/>
          <c:showBubbleSize val="0"/>
        </c:dLbls>
        <c:gapWidth val="182"/>
        <c:overlap val="-50"/>
        <c:axId val="395632255"/>
        <c:axId val="395630335"/>
      </c:barChart>
      <c:catAx>
        <c:axId val="395632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395630335"/>
        <c:crosses val="autoZero"/>
        <c:auto val="1"/>
        <c:lblAlgn val="ctr"/>
        <c:lblOffset val="100"/>
        <c:noMultiLvlLbl val="0"/>
      </c:catAx>
      <c:valAx>
        <c:axId val="395630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395632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kpi!$H$2</c:f>
          <c:strCache>
            <c:ptCount val="1"/>
            <c:pt idx="0">
              <c:v>2596879.6</c:v>
            </c:pt>
          </c:strCache>
        </c:strRef>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kpi!$H$12</c:f>
              <c:strCache>
                <c:ptCount val="1"/>
                <c:pt idx="0">
                  <c:v>Sum of Net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kpi!$G$13:$G$16</c:f>
              <c:strCache>
                <c:ptCount val="4"/>
                <c:pt idx="0">
                  <c:v>East</c:v>
                </c:pt>
                <c:pt idx="1">
                  <c:v>North</c:v>
                </c:pt>
                <c:pt idx="2">
                  <c:v>South</c:v>
                </c:pt>
                <c:pt idx="3">
                  <c:v>West</c:v>
                </c:pt>
              </c:strCache>
            </c:strRef>
          </c:cat>
          <c:val>
            <c:numRef>
              <c:f>kpi!$H$13:$H$16</c:f>
              <c:numCache>
                <c:formatCode>General</c:formatCode>
                <c:ptCount val="4"/>
                <c:pt idx="0">
                  <c:v>826095.08000000007</c:v>
                </c:pt>
                <c:pt idx="1">
                  <c:v>966109.9</c:v>
                </c:pt>
                <c:pt idx="2">
                  <c:v>453241.50000000006</c:v>
                </c:pt>
                <c:pt idx="3">
                  <c:v>351433.12</c:v>
                </c:pt>
              </c:numCache>
            </c:numRef>
          </c:val>
          <c:extLst>
            <c:ext xmlns:c16="http://schemas.microsoft.com/office/drawing/2014/chart" uri="{C3380CC4-5D6E-409C-BE32-E72D297353CC}">
              <c16:uniqueId val="{00000000-6073-4B6D-AC7F-F8AC8CD0D805}"/>
            </c:ext>
          </c:extLst>
        </c:ser>
        <c:dLbls>
          <c:showLegendKey val="0"/>
          <c:showVal val="0"/>
          <c:showCatName val="0"/>
          <c:showSerName val="0"/>
          <c:showPercent val="0"/>
          <c:showBubbleSize val="0"/>
        </c:dLbls>
        <c:gapWidth val="219"/>
        <c:overlap val="-27"/>
        <c:axId val="311736079"/>
        <c:axId val="311737039"/>
      </c:barChart>
      <c:lineChart>
        <c:grouping val="standard"/>
        <c:varyColors val="0"/>
        <c:ser>
          <c:idx val="1"/>
          <c:order val="1"/>
          <c:tx>
            <c:strRef>
              <c:f>kpi!$I$12</c:f>
              <c:strCache>
                <c:ptCount val="1"/>
                <c:pt idx="0">
                  <c:v>Sum of Profit Amount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kpi!$G$13:$G$16</c:f>
              <c:strCache>
                <c:ptCount val="4"/>
                <c:pt idx="0">
                  <c:v>East</c:v>
                </c:pt>
                <c:pt idx="1">
                  <c:v>North</c:v>
                </c:pt>
                <c:pt idx="2">
                  <c:v>South</c:v>
                </c:pt>
                <c:pt idx="3">
                  <c:v>West</c:v>
                </c:pt>
              </c:strCache>
            </c:strRef>
          </c:cat>
          <c:val>
            <c:numRef>
              <c:f>kpi!$I$13:$I$16</c:f>
              <c:numCache>
                <c:formatCode>0.00%</c:formatCode>
                <c:ptCount val="4"/>
                <c:pt idx="0">
                  <c:v>0.3364219165996597</c:v>
                </c:pt>
                <c:pt idx="1">
                  <c:v>0.38059913271508494</c:v>
                </c:pt>
                <c:pt idx="2">
                  <c:v>0.17917470878799488</c:v>
                </c:pt>
                <c:pt idx="3">
                  <c:v>0.10380424189726042</c:v>
                </c:pt>
              </c:numCache>
            </c:numRef>
          </c:val>
          <c:smooth val="0"/>
          <c:extLst>
            <c:ext xmlns:c16="http://schemas.microsoft.com/office/drawing/2014/chart" uri="{C3380CC4-5D6E-409C-BE32-E72D297353CC}">
              <c16:uniqueId val="{00000001-6073-4B6D-AC7F-F8AC8CD0D805}"/>
            </c:ext>
          </c:extLst>
        </c:ser>
        <c:dLbls>
          <c:showLegendKey val="0"/>
          <c:showVal val="0"/>
          <c:showCatName val="0"/>
          <c:showSerName val="0"/>
          <c:showPercent val="0"/>
          <c:showBubbleSize val="0"/>
        </c:dLbls>
        <c:marker val="1"/>
        <c:smooth val="0"/>
        <c:axId val="311767279"/>
        <c:axId val="311773999"/>
      </c:lineChart>
      <c:catAx>
        <c:axId val="3117360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1737039"/>
        <c:crosses val="autoZero"/>
        <c:auto val="1"/>
        <c:lblAlgn val="ctr"/>
        <c:lblOffset val="100"/>
        <c:noMultiLvlLbl val="0"/>
      </c:catAx>
      <c:valAx>
        <c:axId val="3117370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1736079"/>
        <c:crosses val="autoZero"/>
        <c:crossBetween val="between"/>
      </c:valAx>
      <c:valAx>
        <c:axId val="311773999"/>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1767279"/>
        <c:crosses val="max"/>
        <c:crossBetween val="between"/>
      </c:valAx>
      <c:catAx>
        <c:axId val="311767279"/>
        <c:scaling>
          <c:orientation val="minMax"/>
        </c:scaling>
        <c:delete val="1"/>
        <c:axPos val="b"/>
        <c:numFmt formatCode="General" sourceLinked="1"/>
        <c:majorTickMark val="none"/>
        <c:minorTickMark val="none"/>
        <c:tickLblPos val="nextTo"/>
        <c:crossAx val="311773999"/>
        <c:crosses val="autoZero"/>
        <c:auto val="1"/>
        <c:lblAlgn val="ctr"/>
        <c:lblOffset val="100"/>
        <c:noMultiLvlLbl val="0"/>
      </c:cat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[excel_dashboard1.xlsx]kpi!citysale</c:name>
    <c:fmtId val="1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kpi!$L$3</c:f>
              <c:strCache>
                <c:ptCount val="1"/>
                <c:pt idx="0">
                  <c:v>Sum of Net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kpi!$K$4:$K$14</c:f>
              <c:strCache>
                <c:ptCount val="10"/>
                <c:pt idx="0">
                  <c:v>Ahmedabad</c:v>
                </c:pt>
                <c:pt idx="1">
                  <c:v>Bengaluru</c:v>
                </c:pt>
                <c:pt idx="2">
                  <c:v>Chennai</c:v>
                </c:pt>
                <c:pt idx="3">
                  <c:v>Delhi</c:v>
                </c:pt>
                <c:pt idx="4">
                  <c:v>Hyderabad</c:v>
                </c:pt>
                <c:pt idx="5">
                  <c:v>Jaipur</c:v>
                </c:pt>
                <c:pt idx="6">
                  <c:v>Kolkata</c:v>
                </c:pt>
                <c:pt idx="7">
                  <c:v>Mumbai</c:v>
                </c:pt>
                <c:pt idx="8">
                  <c:v>Pune</c:v>
                </c:pt>
                <c:pt idx="9">
                  <c:v>Surat</c:v>
                </c:pt>
              </c:strCache>
            </c:strRef>
          </c:cat>
          <c:val>
            <c:numRef>
              <c:f>kpi!$L$4:$L$14</c:f>
              <c:numCache>
                <c:formatCode>General</c:formatCode>
                <c:ptCount val="10"/>
                <c:pt idx="0">
                  <c:v>228175.44000000003</c:v>
                </c:pt>
                <c:pt idx="1">
                  <c:v>201929.59999999998</c:v>
                </c:pt>
                <c:pt idx="2">
                  <c:v>161184.26</c:v>
                </c:pt>
                <c:pt idx="3">
                  <c:v>256159.78000000003</c:v>
                </c:pt>
                <c:pt idx="4">
                  <c:v>298477.91999999993</c:v>
                </c:pt>
                <c:pt idx="5">
                  <c:v>440705.97000000003</c:v>
                </c:pt>
                <c:pt idx="6">
                  <c:v>245565.25999999998</c:v>
                </c:pt>
                <c:pt idx="7">
                  <c:v>183617.07000000004</c:v>
                </c:pt>
                <c:pt idx="8">
                  <c:v>267804.78000000003</c:v>
                </c:pt>
                <c:pt idx="9">
                  <c:v>313259.52000000002</c:v>
                </c:pt>
              </c:numCache>
            </c:numRef>
          </c:val>
          <c:extLst>
            <c:ext xmlns:c16="http://schemas.microsoft.com/office/drawing/2014/chart" uri="{C3380CC4-5D6E-409C-BE32-E72D297353CC}">
              <c16:uniqueId val="{00000000-2418-4546-88C4-E76F2938EA67}"/>
            </c:ext>
          </c:extLst>
        </c:ser>
        <c:dLbls>
          <c:showLegendKey val="0"/>
          <c:showVal val="0"/>
          <c:showCatName val="0"/>
          <c:showSerName val="0"/>
          <c:showPercent val="0"/>
          <c:showBubbleSize val="0"/>
        </c:dLbls>
        <c:axId val="311773039"/>
        <c:axId val="311763439"/>
      </c:areaChart>
      <c:lineChart>
        <c:grouping val="standard"/>
        <c:varyColors val="0"/>
        <c:ser>
          <c:idx val="1"/>
          <c:order val="1"/>
          <c:tx>
            <c:strRef>
              <c:f>kpi!$M$3</c:f>
              <c:strCache>
                <c:ptCount val="1"/>
                <c:pt idx="0">
                  <c:v>Sum of Profit Amount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kpi!$K$4:$K$14</c:f>
              <c:strCache>
                <c:ptCount val="10"/>
                <c:pt idx="0">
                  <c:v>Ahmedabad</c:v>
                </c:pt>
                <c:pt idx="1">
                  <c:v>Bengaluru</c:v>
                </c:pt>
                <c:pt idx="2">
                  <c:v>Chennai</c:v>
                </c:pt>
                <c:pt idx="3">
                  <c:v>Delhi</c:v>
                </c:pt>
                <c:pt idx="4">
                  <c:v>Hyderabad</c:v>
                </c:pt>
                <c:pt idx="5">
                  <c:v>Jaipur</c:v>
                </c:pt>
                <c:pt idx="6">
                  <c:v>Kolkata</c:v>
                </c:pt>
                <c:pt idx="7">
                  <c:v>Mumbai</c:v>
                </c:pt>
                <c:pt idx="8">
                  <c:v>Pune</c:v>
                </c:pt>
                <c:pt idx="9">
                  <c:v>Surat</c:v>
                </c:pt>
              </c:strCache>
            </c:strRef>
          </c:cat>
          <c:val>
            <c:numRef>
              <c:f>kpi!$M$4:$M$14</c:f>
              <c:numCache>
                <c:formatCode>0.00%</c:formatCode>
                <c:ptCount val="10"/>
                <c:pt idx="0">
                  <c:v>9.4726138518558822E-2</c:v>
                </c:pt>
                <c:pt idx="1">
                  <c:v>6.8511598786645062E-2</c:v>
                </c:pt>
                <c:pt idx="2">
                  <c:v>6.3128618277573753E-2</c:v>
                </c:pt>
                <c:pt idx="3">
                  <c:v>8.5110724312966554E-2</c:v>
                </c:pt>
                <c:pt idx="4">
                  <c:v>0.11837143390250859</c:v>
                </c:pt>
                <c:pt idx="5">
                  <c:v>0.16182359429455423</c:v>
                </c:pt>
                <c:pt idx="6">
                  <c:v>0.13004204663404986</c:v>
                </c:pt>
                <c:pt idx="7">
                  <c:v>6.1421582396018297E-2</c:v>
                </c:pt>
                <c:pt idx="8">
                  <c:v>9.7154857313263177E-2</c:v>
                </c:pt>
                <c:pt idx="9">
                  <c:v>0.11970940556386162</c:v>
                </c:pt>
              </c:numCache>
            </c:numRef>
          </c:val>
          <c:smooth val="0"/>
          <c:extLst>
            <c:ext xmlns:c16="http://schemas.microsoft.com/office/drawing/2014/chart" uri="{C3380CC4-5D6E-409C-BE32-E72D297353CC}">
              <c16:uniqueId val="{00000001-2418-4546-88C4-E76F2938EA67}"/>
            </c:ext>
          </c:extLst>
        </c:ser>
        <c:dLbls>
          <c:showLegendKey val="0"/>
          <c:showVal val="0"/>
          <c:showCatName val="0"/>
          <c:showSerName val="0"/>
          <c:showPercent val="0"/>
          <c:showBubbleSize val="0"/>
        </c:dLbls>
        <c:marker val="1"/>
        <c:smooth val="0"/>
        <c:axId val="1749835631"/>
        <c:axId val="1749856271"/>
      </c:lineChart>
      <c:catAx>
        <c:axId val="3117730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1763439"/>
        <c:crosses val="autoZero"/>
        <c:auto val="1"/>
        <c:lblAlgn val="ctr"/>
        <c:lblOffset val="100"/>
        <c:noMultiLvlLbl val="0"/>
      </c:catAx>
      <c:valAx>
        <c:axId val="3117634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1773039"/>
        <c:crosses val="autoZero"/>
        <c:crossBetween val="between"/>
      </c:valAx>
      <c:valAx>
        <c:axId val="1749856271"/>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9835631"/>
        <c:crosses val="max"/>
        <c:crossBetween val="between"/>
      </c:valAx>
      <c:catAx>
        <c:axId val="1749835631"/>
        <c:scaling>
          <c:orientation val="minMax"/>
        </c:scaling>
        <c:delete val="1"/>
        <c:axPos val="b"/>
        <c:numFmt formatCode="General" sourceLinked="1"/>
        <c:majorTickMark val="none"/>
        <c:minorTickMark val="none"/>
        <c:tickLblPos val="nextTo"/>
        <c:crossAx val="174985627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[excel_dashboard1.xlsx]kpi!channelsale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Online/Offline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0.1006730781497846"/>
          <c:y val="0.3236549720865215"/>
          <c:w val="0.4606843049785031"/>
          <c:h val="0.51052064513506679"/>
        </c:manualLayout>
      </c:layout>
      <c:pieChart>
        <c:varyColors val="1"/>
        <c:ser>
          <c:idx val="0"/>
          <c:order val="0"/>
          <c:tx>
            <c:strRef>
              <c:f>kpi!$P$3</c:f>
              <c:strCache>
                <c:ptCount val="1"/>
                <c:pt idx="0">
                  <c:v>Sum of Net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A5-4DA1-AF8B-73A973231A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A5-4DA1-AF8B-73A973231A5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kpi!$O$4:$O$6</c:f>
              <c:strCache>
                <c:ptCount val="2"/>
                <c:pt idx="0">
                  <c:v>Offline</c:v>
                </c:pt>
                <c:pt idx="1">
                  <c:v>Online</c:v>
                </c:pt>
              </c:strCache>
            </c:strRef>
          </c:cat>
          <c:val>
            <c:numRef>
              <c:f>kpi!$P$4:$P$6</c:f>
              <c:numCache>
                <c:formatCode>General</c:formatCode>
                <c:ptCount val="2"/>
                <c:pt idx="0">
                  <c:v>979080.7300000001</c:v>
                </c:pt>
                <c:pt idx="1">
                  <c:v>1617798.8700000003</c:v>
                </c:pt>
              </c:numCache>
            </c:numRef>
          </c:val>
          <c:extLst>
            <c:ext xmlns:c16="http://schemas.microsoft.com/office/drawing/2014/chart" uri="{C3380CC4-5D6E-409C-BE32-E72D297353CC}">
              <c16:uniqueId val="{00000004-5BA5-4DA1-AF8B-73A973231A58}"/>
            </c:ext>
          </c:extLst>
        </c:ser>
        <c:ser>
          <c:idx val="1"/>
          <c:order val="1"/>
          <c:tx>
            <c:strRef>
              <c:f>kpi!$Q$3</c:f>
              <c:strCache>
                <c:ptCount val="1"/>
                <c:pt idx="0">
                  <c:v>Average of Discount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5BA5-4DA1-AF8B-73A973231A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5BA5-4DA1-AF8B-73A973231A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kpi!$O$4:$O$6</c:f>
              <c:strCache>
                <c:ptCount val="2"/>
                <c:pt idx="0">
                  <c:v>Offline</c:v>
                </c:pt>
                <c:pt idx="1">
                  <c:v>Online</c:v>
                </c:pt>
              </c:strCache>
            </c:strRef>
          </c:cat>
          <c:val>
            <c:numRef>
              <c:f>kpi!$Q$4:$Q$6</c:f>
              <c:numCache>
                <c:formatCode>General</c:formatCode>
                <c:ptCount val="2"/>
                <c:pt idx="0">
                  <c:v>14.134358974358975</c:v>
                </c:pt>
                <c:pt idx="1">
                  <c:v>16.065409836065577</c:v>
                </c:pt>
              </c:numCache>
            </c:numRef>
          </c:val>
          <c:extLst>
            <c:ext xmlns:c16="http://schemas.microsoft.com/office/drawing/2014/chart" uri="{C3380CC4-5D6E-409C-BE32-E72D297353CC}">
              <c16:uniqueId val="{00000009-5BA5-4DA1-AF8B-73A973231A58}"/>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[excel_dashboard1.xlsx]kpi!subproduct</c:name>
    <c:fmtId val="8"/>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kpi!$AG$3</c:f>
              <c:strCache>
                <c:ptCount val="1"/>
                <c:pt idx="0">
                  <c:v>Sum of Net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kpi!$AF$4:$AF$13</c:f>
              <c:strCache>
                <c:ptCount val="9"/>
                <c:pt idx="0">
                  <c:v>Chairs</c:v>
                </c:pt>
                <c:pt idx="1">
                  <c:v>Kids</c:v>
                </c:pt>
                <c:pt idx="2">
                  <c:v>Laptops</c:v>
                </c:pt>
                <c:pt idx="3">
                  <c:v>Men</c:v>
                </c:pt>
                <c:pt idx="4">
                  <c:v>Smartphones</c:v>
                </c:pt>
                <c:pt idx="5">
                  <c:v>Sofas</c:v>
                </c:pt>
                <c:pt idx="6">
                  <c:v>Tables</c:v>
                </c:pt>
                <c:pt idx="7">
                  <c:v>Televisions</c:v>
                </c:pt>
                <c:pt idx="8">
                  <c:v>Women</c:v>
                </c:pt>
              </c:strCache>
            </c:strRef>
          </c:cat>
          <c:val>
            <c:numRef>
              <c:f>kpi!$AG$4:$AG$13</c:f>
              <c:numCache>
                <c:formatCode>General</c:formatCode>
                <c:ptCount val="9"/>
                <c:pt idx="0">
                  <c:v>152516.31</c:v>
                </c:pt>
                <c:pt idx="1">
                  <c:v>253490.11</c:v>
                </c:pt>
                <c:pt idx="2">
                  <c:v>365831.69</c:v>
                </c:pt>
                <c:pt idx="3">
                  <c:v>204084.56</c:v>
                </c:pt>
                <c:pt idx="4">
                  <c:v>237749.33000000002</c:v>
                </c:pt>
                <c:pt idx="5">
                  <c:v>275495.52999999997</c:v>
                </c:pt>
                <c:pt idx="6">
                  <c:v>391026.29000000004</c:v>
                </c:pt>
                <c:pt idx="7">
                  <c:v>215461.47000000003</c:v>
                </c:pt>
                <c:pt idx="8">
                  <c:v>501224.31</c:v>
                </c:pt>
              </c:numCache>
            </c:numRef>
          </c:val>
          <c:extLst>
            <c:ext xmlns:c16="http://schemas.microsoft.com/office/drawing/2014/chart" uri="{C3380CC4-5D6E-409C-BE32-E72D297353CC}">
              <c16:uniqueId val="{00000000-8D1B-46FA-98AD-CA23B753E5DF}"/>
            </c:ext>
          </c:extLst>
        </c:ser>
        <c:dLbls>
          <c:showLegendKey val="0"/>
          <c:showVal val="0"/>
          <c:showCatName val="0"/>
          <c:showSerName val="0"/>
          <c:showPercent val="0"/>
          <c:showBubbleSize val="0"/>
        </c:dLbls>
        <c:gapWidth val="32"/>
        <c:overlap val="96"/>
        <c:axId val="601887183"/>
        <c:axId val="601883823"/>
      </c:barChart>
      <c:barChart>
        <c:barDir val="col"/>
        <c:grouping val="clustered"/>
        <c:varyColors val="0"/>
        <c:ser>
          <c:idx val="1"/>
          <c:order val="1"/>
          <c:tx>
            <c:strRef>
              <c:f>kpi!$AH$3</c:f>
              <c:strCache>
                <c:ptCount val="1"/>
                <c:pt idx="0">
                  <c:v>Sum of Quantity Sold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kpi!$AF$4:$AF$13</c:f>
              <c:strCache>
                <c:ptCount val="9"/>
                <c:pt idx="0">
                  <c:v>Chairs</c:v>
                </c:pt>
                <c:pt idx="1">
                  <c:v>Kids</c:v>
                </c:pt>
                <c:pt idx="2">
                  <c:v>Laptops</c:v>
                </c:pt>
                <c:pt idx="3">
                  <c:v>Men</c:v>
                </c:pt>
                <c:pt idx="4">
                  <c:v>Smartphones</c:v>
                </c:pt>
                <c:pt idx="5">
                  <c:v>Sofas</c:v>
                </c:pt>
                <c:pt idx="6">
                  <c:v>Tables</c:v>
                </c:pt>
                <c:pt idx="7">
                  <c:v>Televisions</c:v>
                </c:pt>
                <c:pt idx="8">
                  <c:v>Women</c:v>
                </c:pt>
              </c:strCache>
            </c:strRef>
          </c:cat>
          <c:val>
            <c:numRef>
              <c:f>kpi!$AH$4:$AH$13</c:f>
              <c:numCache>
                <c:formatCode>0.00%</c:formatCode>
                <c:ptCount val="9"/>
                <c:pt idx="0">
                  <c:v>6.4846416382252553E-2</c:v>
                </c:pt>
                <c:pt idx="1">
                  <c:v>9.7269624573378843E-2</c:v>
                </c:pt>
                <c:pt idx="2">
                  <c:v>0.1348122866894198</c:v>
                </c:pt>
                <c:pt idx="3">
                  <c:v>9.7269624573378843E-2</c:v>
                </c:pt>
                <c:pt idx="4">
                  <c:v>0.11262798634812286</c:v>
                </c:pt>
                <c:pt idx="5">
                  <c:v>9.2150170648464161E-2</c:v>
                </c:pt>
                <c:pt idx="6">
                  <c:v>0.14163822525597269</c:v>
                </c:pt>
                <c:pt idx="7">
                  <c:v>8.8737201365187715E-2</c:v>
                </c:pt>
                <c:pt idx="8">
                  <c:v>0.17064846416382254</c:v>
                </c:pt>
              </c:numCache>
            </c:numRef>
          </c:val>
          <c:extLst>
            <c:ext xmlns:c16="http://schemas.microsoft.com/office/drawing/2014/chart" uri="{C3380CC4-5D6E-409C-BE32-E72D297353CC}">
              <c16:uniqueId val="{00000001-8D1B-46FA-98AD-CA23B753E5DF}"/>
            </c:ext>
          </c:extLst>
        </c:ser>
        <c:dLbls>
          <c:showLegendKey val="0"/>
          <c:showVal val="0"/>
          <c:showCatName val="0"/>
          <c:showSerName val="0"/>
          <c:showPercent val="0"/>
          <c:showBubbleSize val="0"/>
        </c:dLbls>
        <c:gapWidth val="219"/>
        <c:overlap val="-27"/>
        <c:axId val="601915503"/>
        <c:axId val="601916463"/>
      </c:barChart>
      <c:catAx>
        <c:axId val="601887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1883823"/>
        <c:crosses val="autoZero"/>
        <c:auto val="1"/>
        <c:lblAlgn val="ctr"/>
        <c:lblOffset val="100"/>
        <c:noMultiLvlLbl val="0"/>
      </c:catAx>
      <c:valAx>
        <c:axId val="601883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1887183"/>
        <c:crosses val="autoZero"/>
        <c:crossBetween val="between"/>
      </c:valAx>
      <c:valAx>
        <c:axId val="601916463"/>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1915503"/>
        <c:crosses val="max"/>
        <c:crossBetween val="between"/>
      </c:valAx>
      <c:catAx>
        <c:axId val="601915503"/>
        <c:scaling>
          <c:orientation val="minMax"/>
        </c:scaling>
        <c:delete val="1"/>
        <c:axPos val="b"/>
        <c:numFmt formatCode="General" sourceLinked="1"/>
        <c:majorTickMark val="none"/>
        <c:minorTickMark val="none"/>
        <c:tickLblPos val="nextTo"/>
        <c:crossAx val="6019164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[excel_dashboard1.xlsx]kpi!paymentmode</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dLbl>
          <c:idx val="0"/>
          <c:layout>
            <c:manualLayout>
              <c:x val="0.20120724346076457"/>
              <c:y val="-6.9444444444444406E-3"/>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724346076458753"/>
                  <c:h val="0.15726851851851853"/>
                </c:manualLayout>
              </c15:layout>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dLbl>
          <c:idx val="0"/>
          <c:layout>
            <c:manualLayout>
              <c:x val="0.22937641597617214"/>
              <c:y val="6.0185002916302126E-2"/>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907444668008043"/>
                  <c:h val="0.11104184893554971"/>
                </c:manualLayout>
              </c15:layout>
            </c:ext>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dLbl>
          <c:idx val="0"/>
          <c:layout>
            <c:manualLayout>
              <c:x val="-0.26559356136820927"/>
              <c:y val="4.6296478565179267E-2"/>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138832997987927"/>
                  <c:h val="8.7824074074074068E-2"/>
                </c:manualLayout>
              </c15:layout>
            </c:ext>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dLbl>
          <c:idx val="0"/>
          <c:layout>
            <c:manualLayout>
              <c:x val="-0.20724361919548789"/>
              <c:y val="9.9537037037036993E-2"/>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126760563380279"/>
                  <c:h val="0.12949074074074074"/>
                </c:manualLayout>
              </c15:layout>
            </c:ext>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dLbl>
          <c:idx val="0"/>
          <c:layout>
            <c:manualLayout>
              <c:x val="-0.35412474849094566"/>
              <c:y val="-5.0925925925925923E-2"/>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943661971830985"/>
                  <c:h val="0.15263888888888888"/>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dLbl>
          <c:idx val="0"/>
          <c:layout>
            <c:manualLayout>
              <c:x val="0.20120724346076457"/>
              <c:y val="-6.9444444444444406E-3"/>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724346076458753"/>
                  <c:h val="0.15726851851851853"/>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dLbl>
          <c:idx val="0"/>
          <c:layout>
            <c:manualLayout>
              <c:x val="0.22937641597617214"/>
              <c:y val="6.0185002916302126E-2"/>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907444668008043"/>
                  <c:h val="0.11104184893554971"/>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dLbl>
          <c:idx val="0"/>
          <c:layout>
            <c:manualLayout>
              <c:x val="-0.26559356136820927"/>
              <c:y val="4.6296478565179267E-2"/>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138832997987927"/>
                  <c:h val="8.7824074074074068E-2"/>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dLbl>
          <c:idx val="0"/>
          <c:layout>
            <c:manualLayout>
              <c:x val="-0.20724361919548789"/>
              <c:y val="9.9537037037036993E-2"/>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126760563380279"/>
                  <c:h val="0.12949074074074074"/>
                </c:manualLayout>
              </c15:layout>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dLbl>
          <c:idx val="0"/>
          <c:layout>
            <c:manualLayout>
              <c:x val="-0.35412474849094566"/>
              <c:y val="-5.0925925925925923E-2"/>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943661971830985"/>
                  <c:h val="0.15263888888888888"/>
                </c:manualLayout>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dLbl>
          <c:idx val="0"/>
          <c:layout>
            <c:manualLayout>
              <c:x val="0.20120724346076457"/>
              <c:y val="-6.9444444444444406E-3"/>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724346076458753"/>
                  <c:h val="0.15726851851851853"/>
                </c:manualLayout>
              </c15:layout>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dLbl>
          <c:idx val="0"/>
          <c:layout>
            <c:manualLayout>
              <c:x val="0.22937641597617214"/>
              <c:y val="6.0185002916302126E-2"/>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907444668008043"/>
                  <c:h val="0.11104184893554971"/>
                </c:manualLayout>
              </c15:layout>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dLbl>
          <c:idx val="0"/>
          <c:layout>
            <c:manualLayout>
              <c:x val="-0.26559356136820927"/>
              <c:y val="4.6296478565179267E-2"/>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138832997987927"/>
                  <c:h val="8.7824074074074068E-2"/>
                </c:manualLayout>
              </c15:layout>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dLbl>
          <c:idx val="0"/>
          <c:layout>
            <c:manualLayout>
              <c:x val="-0.20724361919548789"/>
              <c:y val="9.9537037037036993E-2"/>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126760563380279"/>
                  <c:h val="0.12949074074074074"/>
                </c:manualLayout>
              </c15:layout>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dLbl>
          <c:idx val="0"/>
          <c:layout>
            <c:manualLayout>
              <c:x val="-0.35412474849094566"/>
              <c:y val="-5.0925925925925923E-2"/>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943661971830985"/>
                  <c:h val="0.15263888888888888"/>
                </c:manualLayout>
              </c15:layout>
            </c:ext>
          </c:extLst>
        </c:dLbl>
      </c:pivotFmt>
    </c:pivotFmts>
    <c:plotArea>
      <c:layout/>
      <c:doughnutChart>
        <c:varyColors val="1"/>
        <c:ser>
          <c:idx val="0"/>
          <c:order val="0"/>
          <c:tx>
            <c:strRef>
              <c:f>kpi!$X$3</c:f>
              <c:strCache>
                <c:ptCount val="1"/>
                <c:pt idx="0">
                  <c:v>Total</c:v>
                </c:pt>
              </c:strCache>
            </c:strRef>
          </c:tx>
          <c:spPr>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c:spPr>
          <c:explosion val="1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9FD-41CE-9D54-665664945A2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9FD-41CE-9D54-665664945A2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9FD-41CE-9D54-665664945A2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9FD-41CE-9D54-665664945A2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9FD-41CE-9D54-665664945A2B}"/>
              </c:ext>
            </c:extLst>
          </c:dPt>
          <c:dLbls>
            <c:dLbl>
              <c:idx val="0"/>
              <c:layout>
                <c:manualLayout>
                  <c:x val="0.20120724346076457"/>
                  <c:y val="-6.9444444444444406E-3"/>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724346076458753"/>
                      <c:h val="0.15726851851851853"/>
                    </c:manualLayout>
                  </c15:layout>
                </c:ext>
                <c:ext xmlns:c16="http://schemas.microsoft.com/office/drawing/2014/chart" uri="{C3380CC4-5D6E-409C-BE32-E72D297353CC}">
                  <c16:uniqueId val="{00000001-E9FD-41CE-9D54-665664945A2B}"/>
                </c:ext>
              </c:extLst>
            </c:dLbl>
            <c:dLbl>
              <c:idx val="1"/>
              <c:layout>
                <c:manualLayout>
                  <c:x val="0.22937641597617214"/>
                  <c:y val="6.0185002916302126E-2"/>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907444668008043"/>
                      <c:h val="0.11104184893554971"/>
                    </c:manualLayout>
                  </c15:layout>
                </c:ext>
                <c:ext xmlns:c16="http://schemas.microsoft.com/office/drawing/2014/chart" uri="{C3380CC4-5D6E-409C-BE32-E72D297353CC}">
                  <c16:uniqueId val="{00000003-E9FD-41CE-9D54-665664945A2B}"/>
                </c:ext>
              </c:extLst>
            </c:dLbl>
            <c:dLbl>
              <c:idx val="2"/>
              <c:layout>
                <c:manualLayout>
                  <c:x val="-0.26559356136820927"/>
                  <c:y val="4.6296478565179267E-2"/>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138832997987927"/>
                      <c:h val="8.7824074074074068E-2"/>
                    </c:manualLayout>
                  </c15:layout>
                </c:ext>
                <c:ext xmlns:c16="http://schemas.microsoft.com/office/drawing/2014/chart" uri="{C3380CC4-5D6E-409C-BE32-E72D297353CC}">
                  <c16:uniqueId val="{00000005-E9FD-41CE-9D54-665664945A2B}"/>
                </c:ext>
              </c:extLst>
            </c:dLbl>
            <c:dLbl>
              <c:idx val="3"/>
              <c:layout>
                <c:manualLayout>
                  <c:x val="-0.20724361919548789"/>
                  <c:y val="9.9537037037036993E-2"/>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126760563380279"/>
                      <c:h val="0.12949074074074074"/>
                    </c:manualLayout>
                  </c15:layout>
                </c:ext>
                <c:ext xmlns:c16="http://schemas.microsoft.com/office/drawing/2014/chart" uri="{C3380CC4-5D6E-409C-BE32-E72D297353CC}">
                  <c16:uniqueId val="{00000007-E9FD-41CE-9D54-665664945A2B}"/>
                </c:ext>
              </c:extLst>
            </c:dLbl>
            <c:dLbl>
              <c:idx val="4"/>
              <c:layout>
                <c:manualLayout>
                  <c:x val="-0.35412474849094566"/>
                  <c:y val="-5.0925925925925923E-2"/>
                </c:manualLayout>
              </c:layout>
              <c:spPr>
                <a:solidFill>
                  <a:schemeClr val="tx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943661971830985"/>
                      <c:h val="0.15263888888888888"/>
                    </c:manualLayout>
                  </c15:layout>
                </c:ext>
                <c:ext xmlns:c16="http://schemas.microsoft.com/office/drawing/2014/chart" uri="{C3380CC4-5D6E-409C-BE32-E72D297353CC}">
                  <c16:uniqueId val="{00000009-E9FD-41CE-9D54-665664945A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kpi!$W$4:$W$9</c:f>
              <c:strCache>
                <c:ptCount val="5"/>
                <c:pt idx="0">
                  <c:v>Cash on Delivery</c:v>
                </c:pt>
                <c:pt idx="1">
                  <c:v>Credit Card</c:v>
                </c:pt>
                <c:pt idx="2">
                  <c:v>Debit Card</c:v>
                </c:pt>
                <c:pt idx="3">
                  <c:v>Net Banking</c:v>
                </c:pt>
                <c:pt idx="4">
                  <c:v>UPI</c:v>
                </c:pt>
              </c:strCache>
            </c:strRef>
          </c:cat>
          <c:val>
            <c:numRef>
              <c:f>kpi!$X$4:$X$9</c:f>
              <c:numCache>
                <c:formatCode>General</c:formatCode>
                <c:ptCount val="5"/>
                <c:pt idx="0">
                  <c:v>26603.502222222225</c:v>
                </c:pt>
                <c:pt idx="1">
                  <c:v>17362.620000000003</c:v>
                </c:pt>
                <c:pt idx="2">
                  <c:v>35781.442941176465</c:v>
                </c:pt>
                <c:pt idx="3">
                  <c:v>20818.668888888889</c:v>
                </c:pt>
                <c:pt idx="4">
                  <c:v>28080.115909090906</c:v>
                </c:pt>
              </c:numCache>
            </c:numRef>
          </c:val>
          <c:extLst>
            <c:ext xmlns:c16="http://schemas.microsoft.com/office/drawing/2014/chart" uri="{C3380CC4-5D6E-409C-BE32-E72D297353CC}">
              <c16:uniqueId val="{0000000A-E9FD-41CE-9D54-665664945A2B}"/>
            </c:ext>
          </c:extLst>
        </c:ser>
        <c:dLbls>
          <c:showLegendKey val="0"/>
          <c:showVal val="1"/>
          <c:showCatName val="0"/>
          <c:showSerName val="0"/>
          <c:showPercent val="0"/>
          <c:showBubbleSize val="0"/>
          <c:showLeaderLines val="1"/>
        </c:dLbls>
        <c:firstSliceAng val="40"/>
        <c:holeSize val="49"/>
      </c:doughnutChart>
      <c:spPr>
        <a:noFill/>
        <a:ln>
          <a:solidFill>
            <a:schemeClr val="accent1"/>
          </a:solidFill>
        </a:ln>
        <a:effectLst/>
      </c:spPr>
    </c:plotArea>
    <c:legend>
      <c:legendPos val="b"/>
      <c:layout>
        <c:manualLayout>
          <c:xMode val="edge"/>
          <c:yMode val="edge"/>
          <c:x val="0.15548676025507868"/>
          <c:y val="0.75002429520605662"/>
          <c:w val="0.79863340645683678"/>
          <c:h val="0.2311940378346945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[excel_dashboard1.xlsx]kpi!PivotTable36</c:name>
    <c:fmtId val="9"/>
  </c:pivotSource>
  <c:chart>
    <c:title>
      <c:tx>
        <c:strRef>
          <c:f>kpi!$AD$2</c:f>
          <c:strCache>
            <c:ptCount val="1"/>
            <c:pt idx="0">
              <c:v>2596879.6</c:v>
            </c:pt>
          </c:strCache>
        </c:strRef>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dk1">
                <a:tint val="88500"/>
              </a:schemeClr>
            </a:solidFill>
            <a:miter lim="800000"/>
          </a:ln>
          <a:effectLst>
            <a:glow rad="63500">
              <a:schemeClr val="dk1">
                <a:tint val="88500"/>
                <a:satMod val="175000"/>
                <a:alpha val="25000"/>
              </a:schemeClr>
            </a:glow>
          </a:effectLst>
        </c:spPr>
        <c:marker>
          <c:symbol val="circle"/>
          <c:size val="4"/>
          <c:spPr>
            <a:solidFill>
              <a:schemeClr val="dk1">
                <a:tint val="88500"/>
                <a:lumMod val="60000"/>
                <a:lumOff val="40000"/>
              </a:schemeClr>
            </a:solidFill>
            <a:ln>
              <a:noFill/>
            </a:ln>
            <a:effectLst>
              <a:glow rad="63500">
                <a:schemeClr val="dk1">
                  <a:tint val="885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dk1">
                <a:tint val="88500"/>
              </a:schemeClr>
            </a:solidFill>
            <a:miter lim="800000"/>
          </a:ln>
          <a:effectLst>
            <a:glow rad="63500">
              <a:schemeClr val="dk1">
                <a:tint val="885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dk1">
                <a:tint val="88500"/>
              </a:schemeClr>
            </a:solidFill>
            <a:miter lim="800000"/>
          </a:ln>
          <a:effectLst>
            <a:glow rad="63500">
              <a:schemeClr val="dk1">
                <a:tint val="88500"/>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3856601330359"/>
          <c:y val="0.1722870081019954"/>
          <c:w val="0.770950460669659"/>
          <c:h val="0.72779686853106174"/>
        </c:manualLayout>
      </c:layout>
      <c:barChart>
        <c:barDir val="bar"/>
        <c:grouping val="clustered"/>
        <c:varyColors val="0"/>
        <c:ser>
          <c:idx val="0"/>
          <c:order val="0"/>
          <c:tx>
            <c:strRef>
              <c:f>kpi!$AD$2</c:f>
              <c:strCache>
                <c:ptCount val="1"/>
                <c:pt idx="0">
                  <c:v>Total</c:v>
                </c:pt>
              </c:strCache>
            </c:strRef>
          </c:tx>
          <c:spPr>
            <a:noFill/>
            <a:ln w="9525" cap="flat" cmpd="sng" algn="ctr">
              <a:solidFill>
                <a:schemeClr val="dk1">
                  <a:tint val="88500"/>
                </a:schemeClr>
              </a:solidFill>
              <a:miter lim="800000"/>
            </a:ln>
            <a:effectLst>
              <a:glow rad="63500">
                <a:schemeClr val="dk1">
                  <a:tint val="885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kpi!$AD$2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kpi!$AD$2</c:f>
              <c:numCache>
                <c:formatCode>General</c:formatCode>
                <c:ptCount val="12"/>
                <c:pt idx="0">
                  <c:v>297079.36</c:v>
                </c:pt>
                <c:pt idx="1">
                  <c:v>179149.91999999998</c:v>
                </c:pt>
                <c:pt idx="2">
                  <c:v>117730.97000000002</c:v>
                </c:pt>
                <c:pt idx="3">
                  <c:v>124289.93999999999</c:v>
                </c:pt>
                <c:pt idx="4">
                  <c:v>174267.71</c:v>
                </c:pt>
                <c:pt idx="5">
                  <c:v>140830.71</c:v>
                </c:pt>
                <c:pt idx="6">
                  <c:v>187190.36000000002</c:v>
                </c:pt>
                <c:pt idx="7">
                  <c:v>324978.12</c:v>
                </c:pt>
                <c:pt idx="8">
                  <c:v>295268.86</c:v>
                </c:pt>
                <c:pt idx="9">
                  <c:v>343484.39</c:v>
                </c:pt>
                <c:pt idx="10">
                  <c:v>104628.79000000001</c:v>
                </c:pt>
                <c:pt idx="11">
                  <c:v>307980.46999999997</c:v>
                </c:pt>
              </c:numCache>
            </c:numRef>
          </c:val>
          <c:extLst>
            <c:ext xmlns:c16="http://schemas.microsoft.com/office/drawing/2014/chart" uri="{C3380CC4-5D6E-409C-BE32-E72D297353CC}">
              <c16:uniqueId val="{00000000-CFCF-4719-9E38-822B87C2DB47}"/>
            </c:ext>
          </c:extLst>
        </c:ser>
        <c:dLbls>
          <c:showLegendKey val="0"/>
          <c:showVal val="1"/>
          <c:showCatName val="0"/>
          <c:showSerName val="0"/>
          <c:showPercent val="0"/>
          <c:showBubbleSize val="0"/>
        </c:dLbls>
        <c:gapWidth val="182"/>
        <c:overlap val="-50"/>
        <c:axId val="395632255"/>
        <c:axId val="395630335"/>
      </c:barChart>
      <c:catAx>
        <c:axId val="395632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395630335"/>
        <c:crosses val="autoZero"/>
        <c:auto val="1"/>
        <c:lblAlgn val="ctr"/>
        <c:lblOffset val="100"/>
        <c:noMultiLvlLbl val="0"/>
      </c:catAx>
      <c:valAx>
        <c:axId val="395630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395632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sunburst" uniqueId="{C52518F3-FBED-4B96-812E-CBBE43A478AC}">
          <cx:tx>
            <cx:txData>
              <cx:f>_xlchart.v1.4</cx:f>
              <cx:v>Sum of Net Sales</cx:v>
            </cx:txData>
          </cx:tx>
          <cx:dataLabels>
            <cx:visibility seriesName="0" categoryName="1" value="1"/>
            <cx:separator>, </cx:separator>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_xlchart.v1.1</cx:f>
      </cx:numDim>
    </cx:data>
  </cx:chartData>
  <cx:chart>
    <cx:plotArea>
      <cx:plotAreaRegion>
        <cx:series layoutId="treemap" uniqueId="{295A1B8F-748D-4D2F-A6CF-1A8DD9AA358D}">
          <cx:tx>
            <cx:txData>
              <cx:f>_xlchart.v1.0</cx:f>
              <cx:v>Sum of Net Sales</cx:v>
            </cx:txData>
          </cx:tx>
          <cx:dataLabels pos="inEnd">
            <cx:visibility seriesName="0" categoryName="1" value="1"/>
            <cx:separator>, </cx:separator>
          </cx:dataLabels>
          <cx:dataId val="0"/>
          <cx:layoutPr>
            <cx:parentLabelLayout val="overlapping"/>
          </cx:layoutPr>
        </cx:series>
      </cx:plotAreaRegion>
    </cx:plotArea>
    <cx:legend pos="b"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sunburst" uniqueId="{C52518F3-FBED-4B96-812E-CBBE43A478AC}">
          <cx:tx>
            <cx:txData>
              <cx:f>_xlchart.v1.7</cx:f>
              <cx:v>Sum of Net Sales</cx:v>
            </cx:txData>
          </cx:tx>
          <cx:dataLabels>
            <cx:visibility seriesName="0" categoryName="1" value="1"/>
            <cx:separator>, </cx:separator>
          </cx:dataLabels>
          <cx:dataId val="0"/>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_xlchart.v1.10</cx:f>
      </cx:numDim>
    </cx:data>
  </cx:chartData>
  <cx:chart>
    <cx:plotArea>
      <cx:plotAreaRegion>
        <cx:series layoutId="treemap" uniqueId="{295A1B8F-748D-4D2F-A6CF-1A8DD9AA358D}">
          <cx:tx>
            <cx:txData>
              <cx:f>_xlchart.v1.9</cx:f>
              <cx:v>Sum of Net Sales</cx:v>
            </cx:txData>
          </cx:tx>
          <cx:dataLabels pos="inEnd">
            <cx:visibility seriesName="0" categoryName="1" value="1"/>
            <cx:separator>, </cx:separator>
          </cx:dataLabels>
          <cx:dataId val="0"/>
          <cx:layoutPr>
            <cx:parentLabelLayout val="overlapping"/>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9.xml"/><Relationship Id="rId7" Type="http://schemas.microsoft.com/office/2014/relationships/chartEx" Target="../charts/chartEx4.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editAs="oneCell">
    <xdr:from>
      <xdr:col>5</xdr:col>
      <xdr:colOff>872490</xdr:colOff>
      <xdr:row>25</xdr:row>
      <xdr:rowOff>182881</xdr:rowOff>
    </xdr:from>
    <xdr:to>
      <xdr:col>7</xdr:col>
      <xdr:colOff>341359</xdr:colOff>
      <xdr:row>34</xdr:row>
      <xdr:rowOff>57151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951B17CF-5212-6B57-6FAE-816E31DA546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82678" y="4945381"/>
              <a:ext cx="1829232" cy="15887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895350</xdr:colOff>
      <xdr:row>19</xdr:row>
      <xdr:rowOff>38101</xdr:rowOff>
    </xdr:from>
    <xdr:to>
      <xdr:col>7</xdr:col>
      <xdr:colOff>364219</xdr:colOff>
      <xdr:row>24</xdr:row>
      <xdr:rowOff>171451</xdr:rowOff>
    </xdr:to>
    <mc:AlternateContent xmlns:mc="http://schemas.openxmlformats.org/markup-compatibility/2006" xmlns:a14="http://schemas.microsoft.com/office/drawing/2010/main">
      <mc:Choice Requires="a14">
        <xdr:graphicFrame macro="">
          <xdr:nvGraphicFramePr>
            <xdr:cNvPr id="5" name="Sales Channel">
              <a:extLst>
                <a:ext uri="{FF2B5EF4-FFF2-40B4-BE49-F238E27FC236}">
                  <a16:creationId xmlns:a16="http://schemas.microsoft.com/office/drawing/2014/main" id="{F175E99D-A66E-9E0C-8FCC-42204178471D}"/>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6205538" y="3657601"/>
              <a:ext cx="1829232"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160020</xdr:colOff>
      <xdr:row>35</xdr:row>
      <xdr:rowOff>133351</xdr:rowOff>
    </xdr:from>
    <xdr:to>
      <xdr:col>5</xdr:col>
      <xdr:colOff>64235</xdr:colOff>
      <xdr:row>42</xdr:row>
      <xdr:rowOff>95251</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2131829E-B57B-098C-3C2D-839663B365A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3017520" y="6800851"/>
              <a:ext cx="1836787"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186690</xdr:colOff>
      <xdr:row>19</xdr:row>
      <xdr:rowOff>140970</xdr:rowOff>
    </xdr:from>
    <xdr:to>
      <xdr:col>5</xdr:col>
      <xdr:colOff>87095</xdr:colOff>
      <xdr:row>33</xdr:row>
      <xdr:rowOff>161925</xdr:rowOff>
    </xdr:to>
    <mc:AlternateContent xmlns:mc="http://schemas.openxmlformats.org/markup-compatibility/2006" xmlns:a14="http://schemas.microsoft.com/office/drawing/2010/main">
      <mc:Choice Requires="a14">
        <xdr:graphicFrame macro="">
          <xdr:nvGraphicFramePr>
            <xdr:cNvPr id="7" name="Product Sub-Category">
              <a:extLst>
                <a:ext uri="{FF2B5EF4-FFF2-40B4-BE49-F238E27FC236}">
                  <a16:creationId xmlns:a16="http://schemas.microsoft.com/office/drawing/2014/main" id="{A9228585-C8FF-FF8F-2246-C46290F4AFCB}"/>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3044190" y="3760470"/>
              <a:ext cx="1832977" cy="26879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27</xdr:row>
      <xdr:rowOff>179071</xdr:rowOff>
    </xdr:from>
    <xdr:to>
      <xdr:col>2</xdr:col>
      <xdr:colOff>292568</xdr:colOff>
      <xdr:row>37</xdr:row>
      <xdr:rowOff>95251</xdr:rowOff>
    </xdr:to>
    <mc:AlternateContent xmlns:mc="http://schemas.openxmlformats.org/markup-compatibility/2006" xmlns:a14="http://schemas.microsoft.com/office/drawing/2010/main">
      <mc:Choice Requires="a14">
        <xdr:graphicFrame macro="">
          <xdr:nvGraphicFramePr>
            <xdr:cNvPr id="8" name="Payment Mode">
              <a:extLst>
                <a:ext uri="{FF2B5EF4-FFF2-40B4-BE49-F238E27FC236}">
                  <a16:creationId xmlns:a16="http://schemas.microsoft.com/office/drawing/2014/main" id="{34211AEE-13A0-E29F-7C76-573295EEE2B6}"/>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90500" y="5322571"/>
              <a:ext cx="1838960" cy="1821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240030</xdr:colOff>
      <xdr:row>20</xdr:row>
      <xdr:rowOff>38101</xdr:rowOff>
    </xdr:from>
    <xdr:to>
      <xdr:col>2</xdr:col>
      <xdr:colOff>334478</xdr:colOff>
      <xdr:row>27</xdr:row>
      <xdr:rowOff>1</xdr:rowOff>
    </xdr:to>
    <mc:AlternateContent xmlns:mc="http://schemas.openxmlformats.org/markup-compatibility/2006" xmlns:a14="http://schemas.microsoft.com/office/drawing/2010/main">
      <mc:Choice Requires="a14">
        <xdr:graphicFrame macro="">
          <xdr:nvGraphicFramePr>
            <xdr:cNvPr id="9" name="Delivery Status">
              <a:extLst>
                <a:ext uri="{FF2B5EF4-FFF2-40B4-BE49-F238E27FC236}">
                  <a16:creationId xmlns:a16="http://schemas.microsoft.com/office/drawing/2014/main" id="{246A3022-36CF-1BD6-8303-0E7D955E5938}"/>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240030" y="3848101"/>
              <a:ext cx="183134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868447</xdr:colOff>
      <xdr:row>35</xdr:row>
      <xdr:rowOff>91595</xdr:rowOff>
    </xdr:from>
    <xdr:to>
      <xdr:col>7</xdr:col>
      <xdr:colOff>321143</xdr:colOff>
      <xdr:row>49</xdr:row>
      <xdr:rowOff>60298</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82605401-8820-378B-8800-7BC9987C6B4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178635" y="6759095"/>
              <a:ext cx="1813059" cy="26357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299874</xdr:colOff>
      <xdr:row>43</xdr:row>
      <xdr:rowOff>95672</xdr:rowOff>
    </xdr:from>
    <xdr:to>
      <xdr:col>5</xdr:col>
      <xdr:colOff>496341</xdr:colOff>
      <xdr:row>51</xdr:row>
      <xdr:rowOff>26399</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3CEADD49-F6A9-477B-B022-57CF0E668E03}"/>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442874" y="7856040"/>
              <a:ext cx="3344730" cy="137451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32657</xdr:colOff>
      <xdr:row>4</xdr:row>
      <xdr:rowOff>174170</xdr:rowOff>
    </xdr:from>
    <xdr:to>
      <xdr:col>0</xdr:col>
      <xdr:colOff>1545771</xdr:colOff>
      <xdr:row>7</xdr:row>
      <xdr:rowOff>43542</xdr:rowOff>
    </xdr:to>
    <xdr:sp macro="" textlink="$A$2">
      <xdr:nvSpPr>
        <xdr:cNvPr id="2" name="Rectangle 1">
          <a:extLst>
            <a:ext uri="{FF2B5EF4-FFF2-40B4-BE49-F238E27FC236}">
              <a16:creationId xmlns:a16="http://schemas.microsoft.com/office/drawing/2014/main" id="{E07B61AF-C91E-BADC-5B7F-013B36DFB4C2}"/>
            </a:ext>
          </a:extLst>
        </xdr:cNvPr>
        <xdr:cNvSpPr/>
      </xdr:nvSpPr>
      <xdr:spPr>
        <a:xfrm>
          <a:off x="32657" y="914399"/>
          <a:ext cx="1513114" cy="42454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FDF37B20-28A6-4649-BAC8-1EF11B02949F}" type="TxLink">
            <a:rPr lang="en-US" sz="1100" b="0" i="0" u="none" strike="noStrike">
              <a:solidFill>
                <a:srgbClr val="000000"/>
              </a:solidFill>
              <a:latin typeface="Aptos Narrow"/>
            </a:rPr>
            <a:pPr algn="l"/>
            <a:t>3063644.04</a:t>
          </a:fld>
          <a:endParaRPr lang="en-US" sz="1100"/>
        </a:p>
      </xdr:txBody>
    </xdr:sp>
    <xdr:clientData/>
  </xdr:twoCellAnchor>
  <xdr:twoCellAnchor>
    <xdr:from>
      <xdr:col>3</xdr:col>
      <xdr:colOff>566058</xdr:colOff>
      <xdr:row>5</xdr:row>
      <xdr:rowOff>43542</xdr:rowOff>
    </xdr:from>
    <xdr:to>
      <xdr:col>4</xdr:col>
      <xdr:colOff>1763486</xdr:colOff>
      <xdr:row>7</xdr:row>
      <xdr:rowOff>10886</xdr:rowOff>
    </xdr:to>
    <xdr:sp macro="" textlink="$E$2">
      <xdr:nvSpPr>
        <xdr:cNvPr id="3" name="Rectangle 2">
          <a:extLst>
            <a:ext uri="{FF2B5EF4-FFF2-40B4-BE49-F238E27FC236}">
              <a16:creationId xmlns:a16="http://schemas.microsoft.com/office/drawing/2014/main" id="{D6B9DB71-9348-9756-EED0-1C3E2E74CDBB}"/>
            </a:ext>
          </a:extLst>
        </xdr:cNvPr>
        <xdr:cNvSpPr/>
      </xdr:nvSpPr>
      <xdr:spPr>
        <a:xfrm>
          <a:off x="3407229" y="968828"/>
          <a:ext cx="1807028" cy="33745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7AE6B63D-E499-4672-9443-C430E9B70153}" type="TxLink">
            <a:rPr lang="en-US" sz="1100" b="0" i="0" u="none" strike="noStrike">
              <a:solidFill>
                <a:srgbClr val="000000"/>
              </a:solidFill>
              <a:latin typeface="Aptos Narrow"/>
            </a:rPr>
            <a:pPr algn="l"/>
            <a:t>466764.44</a:t>
          </a:fld>
          <a:endParaRPr lang="en-US" sz="1100"/>
        </a:p>
      </xdr:txBody>
    </xdr:sp>
    <xdr:clientData/>
  </xdr:twoCellAnchor>
  <xdr:twoCellAnchor>
    <xdr:from>
      <xdr:col>3</xdr:col>
      <xdr:colOff>566057</xdr:colOff>
      <xdr:row>14</xdr:row>
      <xdr:rowOff>54428</xdr:rowOff>
    </xdr:from>
    <xdr:to>
      <xdr:col>4</xdr:col>
      <xdr:colOff>1796142</xdr:colOff>
      <xdr:row>16</xdr:row>
      <xdr:rowOff>10885</xdr:rowOff>
    </xdr:to>
    <xdr:sp macro="" textlink="$E$11">
      <xdr:nvSpPr>
        <xdr:cNvPr id="12" name="Rectangle 11">
          <a:extLst>
            <a:ext uri="{FF2B5EF4-FFF2-40B4-BE49-F238E27FC236}">
              <a16:creationId xmlns:a16="http://schemas.microsoft.com/office/drawing/2014/main" id="{CD1C02B3-6ADD-9143-3AAC-9DAC18A7342D}"/>
            </a:ext>
          </a:extLst>
        </xdr:cNvPr>
        <xdr:cNvSpPr/>
      </xdr:nvSpPr>
      <xdr:spPr>
        <a:xfrm>
          <a:off x="3407228" y="2645228"/>
          <a:ext cx="1839685" cy="32657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8FAF1237-DEEE-4C7B-BC09-34011C1BE70C}" type="TxLink">
            <a:rPr lang="en-US" sz="1100" b="0" i="0" u="none" strike="noStrike">
              <a:solidFill>
                <a:srgbClr val="000000"/>
              </a:solidFill>
              <a:latin typeface="Aptos Narrow"/>
            </a:rPr>
            <a:pPr algn="l"/>
            <a:t>406189.47</a:t>
          </a:fld>
          <a:endParaRPr lang="en-US" sz="1100"/>
        </a:p>
      </xdr:txBody>
    </xdr:sp>
    <xdr:clientData/>
  </xdr:twoCellAnchor>
  <xdr:twoCellAnchor>
    <xdr:from>
      <xdr:col>0</xdr:col>
      <xdr:colOff>65314</xdr:colOff>
      <xdr:row>14</xdr:row>
      <xdr:rowOff>0</xdr:rowOff>
    </xdr:from>
    <xdr:to>
      <xdr:col>0</xdr:col>
      <xdr:colOff>1556657</xdr:colOff>
      <xdr:row>16</xdr:row>
      <xdr:rowOff>10886</xdr:rowOff>
    </xdr:to>
    <xdr:sp macro="" textlink="$A$11">
      <xdr:nvSpPr>
        <xdr:cNvPr id="14" name="Rectangle 13">
          <a:extLst>
            <a:ext uri="{FF2B5EF4-FFF2-40B4-BE49-F238E27FC236}">
              <a16:creationId xmlns:a16="http://schemas.microsoft.com/office/drawing/2014/main" id="{269D00ED-7EC2-8525-2C49-50EF90EE7B78}"/>
            </a:ext>
          </a:extLst>
        </xdr:cNvPr>
        <xdr:cNvSpPr/>
      </xdr:nvSpPr>
      <xdr:spPr>
        <a:xfrm>
          <a:off x="65314" y="2590800"/>
          <a:ext cx="1491343" cy="381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DFFAE2D3-5D5F-4D41-8A1E-D988DEB2E7DD}" type="TxLink">
            <a:rPr lang="en-US" sz="1100" b="0" i="0" u="none" strike="noStrike">
              <a:solidFill>
                <a:srgbClr val="000000"/>
              </a:solidFill>
              <a:latin typeface="Aptos Narrow"/>
            </a:rPr>
            <a:pPr algn="l"/>
            <a:t>2596879.6</a:t>
          </a:fld>
          <a:endParaRPr lang="en-US" sz="1100"/>
        </a:p>
      </xdr:txBody>
    </xdr:sp>
    <xdr:clientData/>
  </xdr:twoCellAnchor>
  <xdr:twoCellAnchor>
    <xdr:from>
      <xdr:col>7</xdr:col>
      <xdr:colOff>469605</xdr:colOff>
      <xdr:row>18</xdr:row>
      <xdr:rowOff>115186</xdr:rowOff>
    </xdr:from>
    <xdr:to>
      <xdr:col>9</xdr:col>
      <xdr:colOff>381000</xdr:colOff>
      <xdr:row>31</xdr:row>
      <xdr:rowOff>179867</xdr:rowOff>
    </xdr:to>
    <xdr:graphicFrame macro="">
      <xdr:nvGraphicFramePr>
        <xdr:cNvPr id="16" name="Chart 15">
          <a:extLst>
            <a:ext uri="{FF2B5EF4-FFF2-40B4-BE49-F238E27FC236}">
              <a16:creationId xmlns:a16="http://schemas.microsoft.com/office/drawing/2014/main" id="{5F678B06-F925-0262-6C3F-E2DB79736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594175</xdr:colOff>
      <xdr:row>30</xdr:row>
      <xdr:rowOff>113215</xdr:rowOff>
    </xdr:from>
    <xdr:to>
      <xdr:col>12</xdr:col>
      <xdr:colOff>1829783</xdr:colOff>
      <xdr:row>45</xdr:row>
      <xdr:rowOff>128802</xdr:rowOff>
    </xdr:to>
    <xdr:graphicFrame macro="">
      <xdr:nvGraphicFramePr>
        <xdr:cNvPr id="18" name="Chart 17">
          <a:extLst>
            <a:ext uri="{FF2B5EF4-FFF2-40B4-BE49-F238E27FC236}">
              <a16:creationId xmlns:a16="http://schemas.microsoft.com/office/drawing/2014/main" id="{F1AF323F-5227-19A1-F89A-D4F2D8E825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600559</xdr:colOff>
      <xdr:row>8</xdr:row>
      <xdr:rowOff>0</xdr:rowOff>
    </xdr:from>
    <xdr:to>
      <xdr:col>16</xdr:col>
      <xdr:colOff>516609</xdr:colOff>
      <xdr:row>21</xdr:row>
      <xdr:rowOff>73616</xdr:rowOff>
    </xdr:to>
    <xdr:graphicFrame macro="">
      <xdr:nvGraphicFramePr>
        <xdr:cNvPr id="19" name="Chart 18">
          <a:extLst>
            <a:ext uri="{FF2B5EF4-FFF2-40B4-BE49-F238E27FC236}">
              <a16:creationId xmlns:a16="http://schemas.microsoft.com/office/drawing/2014/main" id="{A8439B55-8E18-A11F-7D1C-35D9E82BC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148526</xdr:colOff>
      <xdr:row>15</xdr:row>
      <xdr:rowOff>113655</xdr:rowOff>
    </xdr:from>
    <xdr:to>
      <xdr:col>20</xdr:col>
      <xdr:colOff>1143000</xdr:colOff>
      <xdr:row>30</xdr:row>
      <xdr:rowOff>144651</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11CE3B84-AEA5-6941-1892-B13B396B44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7019206" y="2856855"/>
              <a:ext cx="3813874" cy="277419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30</xdr:col>
      <xdr:colOff>683381</xdr:colOff>
      <xdr:row>15</xdr:row>
      <xdr:rowOff>116114</xdr:rowOff>
    </xdr:from>
    <xdr:to>
      <xdr:col>33</xdr:col>
      <xdr:colOff>1238250</xdr:colOff>
      <xdr:row>30</xdr:row>
      <xdr:rowOff>61232</xdr:rowOff>
    </xdr:to>
    <xdr:graphicFrame macro="">
      <xdr:nvGraphicFramePr>
        <xdr:cNvPr id="22" name="Chart 21">
          <a:extLst>
            <a:ext uri="{FF2B5EF4-FFF2-40B4-BE49-F238E27FC236}">
              <a16:creationId xmlns:a16="http://schemas.microsoft.com/office/drawing/2014/main" id="{24BCD5B9-FD0B-8867-8277-E61D194F36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374650</xdr:colOff>
      <xdr:row>12</xdr:row>
      <xdr:rowOff>82550</xdr:rowOff>
    </xdr:from>
    <xdr:to>
      <xdr:col>23</xdr:col>
      <xdr:colOff>1676400</xdr:colOff>
      <xdr:row>27</xdr:row>
      <xdr:rowOff>158750</xdr:rowOff>
    </xdr:to>
    <xdr:graphicFrame macro="">
      <xdr:nvGraphicFramePr>
        <xdr:cNvPr id="23" name="Chart 22">
          <a:extLst>
            <a:ext uri="{FF2B5EF4-FFF2-40B4-BE49-F238E27FC236}">
              <a16:creationId xmlns:a16="http://schemas.microsoft.com/office/drawing/2014/main" id="{B04E20C5-68F1-199E-1E02-54BBA0B4D7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232710</xdr:colOff>
      <xdr:row>19</xdr:row>
      <xdr:rowOff>41088</xdr:rowOff>
    </xdr:from>
    <xdr:to>
      <xdr:col>27</xdr:col>
      <xdr:colOff>82178</xdr:colOff>
      <xdr:row>34</xdr:row>
      <xdr:rowOff>117288</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B126BE68-E109-2D8E-D2D1-4F09383859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4441450" y="3515808"/>
              <a:ext cx="2874608" cy="28194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321879</xdr:colOff>
      <xdr:row>17</xdr:row>
      <xdr:rowOff>1313</xdr:rowOff>
    </xdr:from>
    <xdr:to>
      <xdr:col>30</xdr:col>
      <xdr:colOff>420413</xdr:colOff>
      <xdr:row>31</xdr:row>
      <xdr:rowOff>169479</xdr:rowOff>
    </xdr:to>
    <xdr:graphicFrame macro="">
      <xdr:nvGraphicFramePr>
        <xdr:cNvPr id="26" name="Chart 25">
          <a:extLst>
            <a:ext uri="{FF2B5EF4-FFF2-40B4-BE49-F238E27FC236}">
              <a16:creationId xmlns:a16="http://schemas.microsoft.com/office/drawing/2014/main" id="{7A288FBA-F9A2-859F-CBA8-5443D2DCF2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43768</xdr:colOff>
      <xdr:row>0</xdr:row>
      <xdr:rowOff>42632</xdr:rowOff>
    </xdr:from>
    <xdr:to>
      <xdr:col>6</xdr:col>
      <xdr:colOff>135208</xdr:colOff>
      <xdr:row>4</xdr:row>
      <xdr:rowOff>134072</xdr:rowOff>
    </xdr:to>
    <xdr:sp macro="" textlink="">
      <xdr:nvSpPr>
        <xdr:cNvPr id="2" name="Rectangle 1">
          <a:extLst>
            <a:ext uri="{FF2B5EF4-FFF2-40B4-BE49-F238E27FC236}">
              <a16:creationId xmlns:a16="http://schemas.microsoft.com/office/drawing/2014/main" id="{12601E9C-4412-D0CD-D1FE-88F3FE5FFBED}"/>
            </a:ext>
          </a:extLst>
        </xdr:cNvPr>
        <xdr:cNvSpPr/>
      </xdr:nvSpPr>
      <xdr:spPr>
        <a:xfrm>
          <a:off x="43768" y="42632"/>
          <a:ext cx="3749040" cy="8229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800" b="1">
              <a:solidFill>
                <a:schemeClr val="tx1"/>
              </a:solidFill>
            </a:rPr>
            <a:t>SALES DASHBOARD</a:t>
          </a:r>
        </a:p>
      </xdr:txBody>
    </xdr:sp>
    <xdr:clientData/>
  </xdr:twoCellAnchor>
  <xdr:twoCellAnchor editAs="oneCell">
    <xdr:from>
      <xdr:col>6</xdr:col>
      <xdr:colOff>223579</xdr:colOff>
      <xdr:row>0</xdr:row>
      <xdr:rowOff>60032</xdr:rowOff>
    </xdr:from>
    <xdr:to>
      <xdr:col>9</xdr:col>
      <xdr:colOff>406459</xdr:colOff>
      <xdr:row>4</xdr:row>
      <xdr:rowOff>144780</xdr:rowOff>
    </xdr:to>
    <mc:AlternateContent xmlns:mc="http://schemas.openxmlformats.org/markup-compatibility/2006" xmlns:a14="http://schemas.microsoft.com/office/drawing/2010/main">
      <mc:Choice Requires="a14">
        <xdr:graphicFrame macro="">
          <xdr:nvGraphicFramePr>
            <xdr:cNvPr id="3" name="Sales Channel 1">
              <a:extLst>
                <a:ext uri="{FF2B5EF4-FFF2-40B4-BE49-F238E27FC236}">
                  <a16:creationId xmlns:a16="http://schemas.microsoft.com/office/drawing/2014/main" id="{B05D1CBF-D8CA-4F66-953D-C4B96ACC1659}"/>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3881179" y="60032"/>
              <a:ext cx="2011680" cy="8162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44789</xdr:colOff>
      <xdr:row>4</xdr:row>
      <xdr:rowOff>160020</xdr:rowOff>
    </xdr:from>
    <xdr:to>
      <xdr:col>6</xdr:col>
      <xdr:colOff>136229</xdr:colOff>
      <xdr:row>12</xdr:row>
      <xdr:rowOff>38100</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7FA52230-7B8D-4E49-BFEF-E0E56260A543}"/>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44789" y="891540"/>
              <a:ext cx="3749040" cy="13411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478386</xdr:colOff>
      <xdr:row>0</xdr:row>
      <xdr:rowOff>34568</xdr:rowOff>
    </xdr:from>
    <xdr:to>
      <xdr:col>16</xdr:col>
      <xdr:colOff>154540</xdr:colOff>
      <xdr:row>4</xdr:row>
      <xdr:rowOff>144780</xdr:rowOff>
    </xdr:to>
    <mc:AlternateContent xmlns:mc="http://schemas.openxmlformats.org/markup-compatibility/2006" xmlns:a14="http://schemas.microsoft.com/office/drawing/2010/main">
      <mc:Choice Requires="a14">
        <xdr:graphicFrame macro="">
          <xdr:nvGraphicFramePr>
            <xdr:cNvPr id="5" name="Payment Mode 1">
              <a:extLst>
                <a:ext uri="{FF2B5EF4-FFF2-40B4-BE49-F238E27FC236}">
                  <a16:creationId xmlns:a16="http://schemas.microsoft.com/office/drawing/2014/main" id="{E739D099-D63D-4252-B39E-CE244BED137D}"/>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5964786" y="34568"/>
              <a:ext cx="3943354" cy="8417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228600</xdr:colOff>
      <xdr:row>0</xdr:row>
      <xdr:rowOff>38100</xdr:rowOff>
    </xdr:from>
    <xdr:to>
      <xdr:col>20</xdr:col>
      <xdr:colOff>259080</xdr:colOff>
      <xdr:row>4</xdr:row>
      <xdr:rowOff>129540</xdr:rowOff>
    </xdr:to>
    <mc:AlternateContent xmlns:mc="http://schemas.openxmlformats.org/markup-compatibility/2006" xmlns:a14="http://schemas.microsoft.com/office/drawing/2010/main">
      <mc:Choice Requires="a14">
        <xdr:graphicFrame macro="">
          <xdr:nvGraphicFramePr>
            <xdr:cNvPr id="6" name="Delivery Status 1">
              <a:extLst>
                <a:ext uri="{FF2B5EF4-FFF2-40B4-BE49-F238E27FC236}">
                  <a16:creationId xmlns:a16="http://schemas.microsoft.com/office/drawing/2014/main" id="{A663FC75-EE88-4B94-A022-40775FC72F3F}"/>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9982200" y="38100"/>
              <a:ext cx="246888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20</xdr:row>
      <xdr:rowOff>15240</xdr:rowOff>
    </xdr:from>
    <xdr:to>
      <xdr:col>6</xdr:col>
      <xdr:colOff>160020</xdr:colOff>
      <xdr:row>29</xdr:row>
      <xdr:rowOff>15239</xdr:rowOff>
    </xdr:to>
    <mc:AlternateContent xmlns:mc="http://schemas.openxmlformats.org/markup-compatibility/2006" xmlns:a14="http://schemas.microsoft.com/office/drawing/2010/main">
      <mc:Choice Requires="a14">
        <xdr:graphicFrame macro="">
          <xdr:nvGraphicFramePr>
            <xdr:cNvPr id="7" name="Product Sub-Category 1">
              <a:extLst>
                <a:ext uri="{FF2B5EF4-FFF2-40B4-BE49-F238E27FC236}">
                  <a16:creationId xmlns:a16="http://schemas.microsoft.com/office/drawing/2014/main" id="{C40D188F-1B4F-437B-A0D7-9BBB140139A5}"/>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mlns="">
        <xdr:sp macro="" textlink="">
          <xdr:nvSpPr>
            <xdr:cNvPr id="0" name=""/>
            <xdr:cNvSpPr>
              <a:spLocks noTextEdit="1"/>
            </xdr:cNvSpPr>
          </xdr:nvSpPr>
          <xdr:spPr>
            <a:xfrm>
              <a:off x="68580" y="3672840"/>
              <a:ext cx="3749040" cy="1645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12</xdr:row>
      <xdr:rowOff>99060</xdr:rowOff>
    </xdr:from>
    <xdr:to>
      <xdr:col>6</xdr:col>
      <xdr:colOff>160020</xdr:colOff>
      <xdr:row>19</xdr:row>
      <xdr:rowOff>68580</xdr:rowOff>
    </xdr:to>
    <mc:AlternateContent xmlns:mc="http://schemas.openxmlformats.org/markup-compatibility/2006" xmlns:a14="http://schemas.microsoft.com/office/drawing/2010/main">
      <mc:Choice Requires="a14">
        <xdr:graphicFrame macro="">
          <xdr:nvGraphicFramePr>
            <xdr:cNvPr id="11" name="Product Category 1">
              <a:extLst>
                <a:ext uri="{FF2B5EF4-FFF2-40B4-BE49-F238E27FC236}">
                  <a16:creationId xmlns:a16="http://schemas.microsoft.com/office/drawing/2014/main" id="{E22CF0B8-62C1-4A9E-98BC-4BDBAF93C256}"/>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68580" y="2293620"/>
              <a:ext cx="3749040" cy="1249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335280</xdr:colOff>
      <xdr:row>0</xdr:row>
      <xdr:rowOff>45720</xdr:rowOff>
    </xdr:from>
    <xdr:to>
      <xdr:col>23</xdr:col>
      <xdr:colOff>335280</xdr:colOff>
      <xdr:row>4</xdr:row>
      <xdr:rowOff>137160</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B87B06F0-081D-43F0-AD5F-A8F9C5C71DA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527280" y="45720"/>
              <a:ext cx="182880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29</xdr:row>
      <xdr:rowOff>137161</xdr:rowOff>
    </xdr:from>
    <xdr:to>
      <xdr:col>6</xdr:col>
      <xdr:colOff>137160</xdr:colOff>
      <xdr:row>38</xdr:row>
      <xdr:rowOff>15241</xdr:rowOff>
    </xdr:to>
    <mc:AlternateContent xmlns:mc="http://schemas.openxmlformats.org/markup-compatibility/2006" xmlns:a14="http://schemas.microsoft.com/office/drawing/2010/main">
      <mc:Choice Requires="a14">
        <xdr:graphicFrame macro="">
          <xdr:nvGraphicFramePr>
            <xdr:cNvPr id="13" name="City 1">
              <a:extLst>
                <a:ext uri="{FF2B5EF4-FFF2-40B4-BE49-F238E27FC236}">
                  <a16:creationId xmlns:a16="http://schemas.microsoft.com/office/drawing/2014/main" id="{FC0FA561-FE01-4DC4-ACD6-280F7A05D49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45720" y="5440681"/>
              <a:ext cx="374904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182880</xdr:colOff>
      <xdr:row>5</xdr:row>
      <xdr:rowOff>0</xdr:rowOff>
    </xdr:from>
    <xdr:to>
      <xdr:col>23</xdr:col>
      <xdr:colOff>335280</xdr:colOff>
      <xdr:row>38</xdr:row>
      <xdr:rowOff>60960</xdr:rowOff>
    </xdr:to>
    <xdr:sp macro="" textlink="">
      <xdr:nvSpPr>
        <xdr:cNvPr id="14" name="Rectangle 13">
          <a:extLst>
            <a:ext uri="{FF2B5EF4-FFF2-40B4-BE49-F238E27FC236}">
              <a16:creationId xmlns:a16="http://schemas.microsoft.com/office/drawing/2014/main" id="{8FACA75B-5178-DE80-31E3-772D8AEBC128}"/>
            </a:ext>
          </a:extLst>
        </xdr:cNvPr>
        <xdr:cNvSpPr/>
      </xdr:nvSpPr>
      <xdr:spPr>
        <a:xfrm>
          <a:off x="3840480" y="914400"/>
          <a:ext cx="10515600" cy="6096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213360</xdr:colOff>
      <xdr:row>5</xdr:row>
      <xdr:rowOff>15240</xdr:rowOff>
    </xdr:from>
    <xdr:to>
      <xdr:col>10</xdr:col>
      <xdr:colOff>586740</xdr:colOff>
      <xdr:row>12</xdr:row>
      <xdr:rowOff>22860</xdr:rowOff>
    </xdr:to>
    <xdr:sp macro="" textlink="">
      <xdr:nvSpPr>
        <xdr:cNvPr id="19" name="Rectangle 18">
          <a:extLst>
            <a:ext uri="{FF2B5EF4-FFF2-40B4-BE49-F238E27FC236}">
              <a16:creationId xmlns:a16="http://schemas.microsoft.com/office/drawing/2014/main" id="{DCA71111-D380-0F5A-BC1F-7DB80F542034}"/>
            </a:ext>
          </a:extLst>
        </xdr:cNvPr>
        <xdr:cNvSpPr/>
      </xdr:nvSpPr>
      <xdr:spPr>
        <a:xfrm>
          <a:off x="3870960" y="929640"/>
          <a:ext cx="2811780" cy="12877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 SALES</a:t>
          </a:r>
        </a:p>
      </xdr:txBody>
    </xdr:sp>
    <xdr:clientData/>
  </xdr:twoCellAnchor>
  <xdr:twoCellAnchor>
    <xdr:from>
      <xdr:col>6</xdr:col>
      <xdr:colOff>253637</xdr:colOff>
      <xdr:row>7</xdr:row>
      <xdr:rowOff>114187</xdr:rowOff>
    </xdr:from>
    <xdr:to>
      <xdr:col>10</xdr:col>
      <xdr:colOff>502920</xdr:colOff>
      <xdr:row>11</xdr:row>
      <xdr:rowOff>160020</xdr:rowOff>
    </xdr:to>
    <xdr:sp macro="" textlink="kpi!$A$11">
      <xdr:nvSpPr>
        <xdr:cNvPr id="18" name="Rectangle 17">
          <a:extLst>
            <a:ext uri="{FF2B5EF4-FFF2-40B4-BE49-F238E27FC236}">
              <a16:creationId xmlns:a16="http://schemas.microsoft.com/office/drawing/2014/main" id="{700E0657-0ED1-49A7-9E9C-39451CBA3490}"/>
            </a:ext>
          </a:extLst>
        </xdr:cNvPr>
        <xdr:cNvSpPr/>
      </xdr:nvSpPr>
      <xdr:spPr>
        <a:xfrm>
          <a:off x="3911237" y="1394347"/>
          <a:ext cx="2687683" cy="77735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A10A8A2B-EAB8-48C5-8561-234567AAC302}" type="TxLink">
            <a:rPr lang="en-US" sz="2400" b="1" i="0" u="none" strike="noStrike">
              <a:solidFill>
                <a:srgbClr val="000000"/>
              </a:solidFill>
              <a:latin typeface="Aptos Narrow"/>
            </a:rPr>
            <a:pPr algn="ctr"/>
            <a:t>2596879.6</a:t>
          </a:fld>
          <a:endParaRPr lang="en-US" sz="2400" b="1"/>
        </a:p>
      </xdr:txBody>
    </xdr:sp>
    <xdr:clientData/>
  </xdr:twoCellAnchor>
  <xdr:twoCellAnchor>
    <xdr:from>
      <xdr:col>11</xdr:col>
      <xdr:colOff>22860</xdr:colOff>
      <xdr:row>5</xdr:row>
      <xdr:rowOff>15240</xdr:rowOff>
    </xdr:from>
    <xdr:to>
      <xdr:col>15</xdr:col>
      <xdr:colOff>396240</xdr:colOff>
      <xdr:row>12</xdr:row>
      <xdr:rowOff>22860</xdr:rowOff>
    </xdr:to>
    <xdr:sp macro="" textlink="">
      <xdr:nvSpPr>
        <xdr:cNvPr id="22" name="Rectangle 21">
          <a:extLst>
            <a:ext uri="{FF2B5EF4-FFF2-40B4-BE49-F238E27FC236}">
              <a16:creationId xmlns:a16="http://schemas.microsoft.com/office/drawing/2014/main" id="{E6989742-937C-C093-40E7-F4091EC4E70F}"/>
            </a:ext>
          </a:extLst>
        </xdr:cNvPr>
        <xdr:cNvSpPr/>
      </xdr:nvSpPr>
      <xdr:spPr>
        <a:xfrm>
          <a:off x="6728460" y="929640"/>
          <a:ext cx="2811780" cy="12877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 PROFIT</a:t>
          </a:r>
        </a:p>
      </xdr:txBody>
    </xdr:sp>
    <xdr:clientData/>
  </xdr:twoCellAnchor>
  <xdr:twoCellAnchor>
    <xdr:from>
      <xdr:col>11</xdr:col>
      <xdr:colOff>103069</xdr:colOff>
      <xdr:row>7</xdr:row>
      <xdr:rowOff>115273</xdr:rowOff>
    </xdr:from>
    <xdr:to>
      <xdr:col>15</xdr:col>
      <xdr:colOff>380437</xdr:colOff>
      <xdr:row>11</xdr:row>
      <xdr:rowOff>160993</xdr:rowOff>
    </xdr:to>
    <xdr:sp macro="" textlink="kpi!$E$11">
      <xdr:nvSpPr>
        <xdr:cNvPr id="17" name="Rectangle 16">
          <a:extLst>
            <a:ext uri="{FF2B5EF4-FFF2-40B4-BE49-F238E27FC236}">
              <a16:creationId xmlns:a16="http://schemas.microsoft.com/office/drawing/2014/main" id="{F2B1BEDB-6A1B-4580-9D21-EB59E807048A}"/>
            </a:ext>
          </a:extLst>
        </xdr:cNvPr>
        <xdr:cNvSpPr/>
      </xdr:nvSpPr>
      <xdr:spPr>
        <a:xfrm>
          <a:off x="6808669" y="1395433"/>
          <a:ext cx="2715768" cy="7772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A87A0C08-5D32-482E-BB67-9B5947701ECA}" type="TxLink">
            <a:rPr lang="en-US" sz="2400" b="1" i="0" u="none" strike="noStrike">
              <a:solidFill>
                <a:srgbClr val="000000"/>
              </a:solidFill>
              <a:latin typeface="Aptos Narrow"/>
            </a:rPr>
            <a:pPr algn="ctr"/>
            <a:t>406189.47</a:t>
          </a:fld>
          <a:endParaRPr lang="en-US" sz="2400" b="1"/>
        </a:p>
      </xdr:txBody>
    </xdr:sp>
    <xdr:clientData/>
  </xdr:twoCellAnchor>
  <xdr:twoCellAnchor>
    <xdr:from>
      <xdr:col>6</xdr:col>
      <xdr:colOff>238760</xdr:colOff>
      <xdr:row>12</xdr:row>
      <xdr:rowOff>42864</xdr:rowOff>
    </xdr:from>
    <xdr:to>
      <xdr:col>10</xdr:col>
      <xdr:colOff>160020</xdr:colOff>
      <xdr:row>21</xdr:row>
      <xdr:rowOff>143934</xdr:rowOff>
    </xdr:to>
    <xdr:graphicFrame macro="">
      <xdr:nvGraphicFramePr>
        <xdr:cNvPr id="23" name="Chart 22">
          <a:extLst>
            <a:ext uri="{FF2B5EF4-FFF2-40B4-BE49-F238E27FC236}">
              <a16:creationId xmlns:a16="http://schemas.microsoft.com/office/drawing/2014/main" id="{D5B1732D-C4B1-46CC-8600-9480F804D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153847</xdr:colOff>
      <xdr:row>21</xdr:row>
      <xdr:rowOff>160020</xdr:rowOff>
    </xdr:from>
    <xdr:to>
      <xdr:col>12</xdr:col>
      <xdr:colOff>434340</xdr:colOff>
      <xdr:row>38</xdr:row>
      <xdr:rowOff>30480</xdr:rowOff>
    </xdr:to>
    <xdr:graphicFrame macro="">
      <xdr:nvGraphicFramePr>
        <xdr:cNvPr id="24" name="Chart 23">
          <a:extLst>
            <a:ext uri="{FF2B5EF4-FFF2-40B4-BE49-F238E27FC236}">
              <a16:creationId xmlns:a16="http://schemas.microsoft.com/office/drawing/2014/main" id="{127BBC85-6DFC-4FD6-85BA-424186AA4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449580</xdr:colOff>
      <xdr:row>12</xdr:row>
      <xdr:rowOff>33020</xdr:rowOff>
    </xdr:from>
    <xdr:to>
      <xdr:col>19</xdr:col>
      <xdr:colOff>441960</xdr:colOff>
      <xdr:row>21</xdr:row>
      <xdr:rowOff>84667</xdr:rowOff>
    </xdr:to>
    <xdr:graphicFrame macro="">
      <xdr:nvGraphicFramePr>
        <xdr:cNvPr id="25" name="Chart 24">
          <a:extLst>
            <a:ext uri="{FF2B5EF4-FFF2-40B4-BE49-F238E27FC236}">
              <a16:creationId xmlns:a16="http://schemas.microsoft.com/office/drawing/2014/main" id="{718737B1-2410-4E19-8657-59ECFB86BA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426720</xdr:colOff>
      <xdr:row>5</xdr:row>
      <xdr:rowOff>7911</xdr:rowOff>
    </xdr:from>
    <xdr:to>
      <xdr:col>19</xdr:col>
      <xdr:colOff>432646</xdr:colOff>
      <xdr:row>11</xdr:row>
      <xdr:rowOff>137160</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CC85350F-18CB-4331-9561-21CCB90941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570720" y="922311"/>
              <a:ext cx="2444326" cy="12265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175261</xdr:colOff>
      <xdr:row>12</xdr:row>
      <xdr:rowOff>60960</xdr:rowOff>
    </xdr:from>
    <xdr:to>
      <xdr:col>15</xdr:col>
      <xdr:colOff>388620</xdr:colOff>
      <xdr:row>21</xdr:row>
      <xdr:rowOff>129540</xdr:rowOff>
    </xdr:to>
    <xdr:graphicFrame macro="">
      <xdr:nvGraphicFramePr>
        <xdr:cNvPr id="27" name="Chart 26">
          <a:extLst>
            <a:ext uri="{FF2B5EF4-FFF2-40B4-BE49-F238E27FC236}">
              <a16:creationId xmlns:a16="http://schemas.microsoft.com/office/drawing/2014/main" id="{4BFCC96A-0C7D-467C-B7FA-F8BF4A729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464820</xdr:colOff>
      <xdr:row>5</xdr:row>
      <xdr:rowOff>50912</xdr:rowOff>
    </xdr:from>
    <xdr:to>
      <xdr:col>23</xdr:col>
      <xdr:colOff>264945</xdr:colOff>
      <xdr:row>21</xdr:row>
      <xdr:rowOff>129540</xdr:rowOff>
    </xdr:to>
    <xdr:graphicFrame macro="">
      <xdr:nvGraphicFramePr>
        <xdr:cNvPr id="28" name="Chart 27">
          <a:extLst>
            <a:ext uri="{FF2B5EF4-FFF2-40B4-BE49-F238E27FC236}">
              <a16:creationId xmlns:a16="http://schemas.microsoft.com/office/drawing/2014/main" id="{539C18BF-002B-4FB2-BA7B-D19509802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396240</xdr:colOff>
      <xdr:row>21</xdr:row>
      <xdr:rowOff>152400</xdr:rowOff>
    </xdr:from>
    <xdr:to>
      <xdr:col>23</xdr:col>
      <xdr:colOff>270301</xdr:colOff>
      <xdr:row>38</xdr:row>
      <xdr:rowOff>22860</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C132EFCE-8055-4051-8332-9190F93317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369040" y="3992880"/>
              <a:ext cx="2922061" cy="29794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476134</xdr:colOff>
      <xdr:row>21</xdr:row>
      <xdr:rowOff>144781</xdr:rowOff>
    </xdr:from>
    <xdr:to>
      <xdr:col>18</xdr:col>
      <xdr:colOff>327660</xdr:colOff>
      <xdr:row>38</xdr:row>
      <xdr:rowOff>7620</xdr:rowOff>
    </xdr:to>
    <xdr:graphicFrame macro="">
      <xdr:nvGraphicFramePr>
        <xdr:cNvPr id="30" name="Chart 29">
          <a:extLst>
            <a:ext uri="{FF2B5EF4-FFF2-40B4-BE49-F238E27FC236}">
              <a16:creationId xmlns:a16="http://schemas.microsoft.com/office/drawing/2014/main" id="{A7C3BBB2-D1A8-4BA3-AC66-DFA4B0C91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chit Satpaise" refreshedDate="45836.97803564815" createdVersion="8" refreshedVersion="8" minRefreshableVersion="3" recordCount="100" xr:uid="{216946D9-C83F-492E-9C8D-33B7F4580C53}">
  <cacheSource type="worksheet">
    <worksheetSource ref="A1:U101" sheet="dataset"/>
  </cacheSource>
  <cacheFields count="23">
    <cacheField name="Order ID" numFmtId="0">
      <sharedItems/>
    </cacheField>
    <cacheField name="Date" numFmtId="14">
      <sharedItems containsSemiMixedTypes="0" containsNonDate="0" containsDate="1" containsString="0" minDate="2022-01-02T00:00:00" maxDate="2023-01-01T00:00:00" count="86">
        <d v="2022-02-16T00:00:00"/>
        <d v="2022-08-14T00:00:00"/>
        <d v="2022-07-14T00:00:00"/>
        <d v="2022-08-16T00:00:00"/>
        <d v="2022-12-25T00:00:00"/>
        <d v="2022-01-22T00:00:00"/>
        <d v="2022-05-28T00:00:00"/>
        <d v="2022-01-10T00:00:00"/>
        <d v="2022-04-04T00:00:00"/>
        <d v="2022-10-18T00:00:00"/>
        <d v="2022-02-01T00:00:00"/>
        <d v="2022-08-11T00:00:00"/>
        <d v="2022-09-29T00:00:00"/>
        <d v="2022-11-09T00:00:00"/>
        <d v="2022-07-22T00:00:00"/>
        <d v="2022-04-08T00:00:00"/>
        <d v="2022-10-27T00:00:00"/>
        <d v="2022-10-30T00:00:00"/>
        <d v="2022-10-09T00:00:00"/>
        <d v="2022-06-09T00:00:00"/>
        <d v="2022-07-29T00:00:00"/>
        <d v="2022-07-03T00:00:00"/>
        <d v="2022-07-12T00:00:00"/>
        <d v="2022-07-31T00:00:00"/>
        <d v="2022-08-26T00:00:00"/>
        <d v="2022-01-31T00:00:00"/>
        <d v="2022-05-16T00:00:00"/>
        <d v="2022-09-05T00:00:00"/>
        <d v="2022-08-22T00:00:00"/>
        <d v="2022-01-17T00:00:00"/>
        <d v="2022-03-05T00:00:00"/>
        <d v="2022-05-07T00:00:00"/>
        <d v="2022-06-12T00:00:00"/>
        <d v="2022-09-12T00:00:00"/>
        <d v="2022-01-02T00:00:00"/>
        <d v="2022-12-08T00:00:00"/>
        <d v="2022-12-31T00:00:00"/>
        <d v="2022-08-28T00:00:00"/>
        <d v="2022-10-28T00:00:00"/>
        <d v="2022-05-05T00:00:00"/>
        <d v="2022-06-15T00:00:00"/>
        <d v="2022-07-13T00:00:00"/>
        <d v="2022-10-15T00:00:00"/>
        <d v="2022-11-15T00:00:00"/>
        <d v="2022-10-19T00:00:00"/>
        <d v="2022-04-22T00:00:00"/>
        <d v="2022-01-16T00:00:00"/>
        <d v="2022-05-12T00:00:00"/>
        <d v="2022-08-30T00:00:00"/>
        <d v="2022-03-27T00:00:00"/>
        <d v="2022-09-15T00:00:00"/>
        <d v="2022-12-16T00:00:00"/>
        <d v="2022-01-29T00:00:00"/>
        <d v="2022-02-14T00:00:00"/>
        <d v="2022-07-17T00:00:00"/>
        <d v="2022-09-19T00:00:00"/>
        <d v="2022-02-13T00:00:00"/>
        <d v="2022-06-18T00:00:00"/>
        <d v="2022-09-03T00:00:00"/>
        <d v="2022-11-16T00:00:00"/>
        <d v="2022-04-19T00:00:00"/>
        <d v="2022-11-08T00:00:00"/>
        <d v="2022-03-29T00:00:00"/>
        <d v="2022-12-27T00:00:00"/>
        <d v="2022-12-23T00:00:00"/>
        <d v="2022-09-06T00:00:00"/>
        <d v="2022-04-21T00:00:00"/>
        <d v="2022-03-24T00:00:00"/>
        <d v="2022-03-22T00:00:00"/>
        <d v="2022-08-19T00:00:00"/>
        <d v="2022-08-25T00:00:00"/>
        <d v="2022-12-24T00:00:00"/>
        <d v="2022-12-05T00:00:00"/>
        <d v="2022-07-21T00:00:00"/>
        <d v="2022-10-13T00:00:00"/>
        <d v="2022-02-06T00:00:00"/>
        <d v="2022-05-09T00:00:00"/>
        <d v="2022-12-07T00:00:00"/>
        <d v="2022-09-17T00:00:00"/>
        <d v="2022-01-14T00:00:00"/>
        <d v="2022-11-25T00:00:00"/>
        <d v="2022-06-04T00:00:00"/>
        <d v="2022-04-12T00:00:00"/>
        <d v="2022-07-19T00:00:00"/>
        <d v="2022-07-15T00:00:00"/>
        <d v="2022-06-26T00:00:00"/>
      </sharedItems>
      <fieldGroup par="22"/>
    </cacheField>
    <cacheField name="Customer Name" numFmtId="0">
      <sharedItems/>
    </cacheField>
    <cacheField name="Customer ID" numFmtId="0">
      <sharedItems/>
    </cacheField>
    <cacheField name="Region" numFmtId="0">
      <sharedItems count="4">
        <s v="East"/>
        <s v="West"/>
        <s v="South"/>
        <s v="North"/>
      </sharedItems>
    </cacheField>
    <cacheField name="City" numFmtId="0">
      <sharedItems count="10">
        <s v="Mumbai"/>
        <s v="Jaipur"/>
        <s v="Delhi"/>
        <s v="Ahmedabad"/>
        <s v="Bengaluru"/>
        <s v="Kolkata"/>
        <s v="Surat"/>
        <s v="Hyderabad"/>
        <s v="Chennai"/>
        <s v="Pune"/>
      </sharedItems>
    </cacheField>
    <cacheField name="Sales Channel" numFmtId="0">
      <sharedItems count="2">
        <s v="Online"/>
        <s v="Offline"/>
      </sharedItems>
    </cacheField>
    <cacheField name="Product Category" numFmtId="0">
      <sharedItems count="3">
        <s v="Clothing"/>
        <s v="Furniture"/>
        <s v="Electronics"/>
      </sharedItems>
    </cacheField>
    <cacheField name="Product Sub-Category" numFmtId="0">
      <sharedItems count="9">
        <s v="Kids"/>
        <s v="Tables"/>
        <s v="Women"/>
        <s v="Laptops"/>
        <s v="Smartphones"/>
        <s v="Chairs"/>
        <s v="Televisions"/>
        <s v="Sofas"/>
        <s v="Men"/>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184.86" maxValue="9947.41"/>
    </cacheField>
    <cacheField name="Total Sales" numFmtId="0">
      <sharedItems containsSemiMixedTypes="0" containsString="0" containsNumber="1" minValue="554.58000000000004" maxValue="97878.8"/>
    </cacheField>
    <cacheField name="Discount %" numFmtId="0">
      <sharedItems containsSemiMixedTypes="0" containsString="0" containsNumber="1" minValue="0.1" maxValue="29.86"/>
    </cacheField>
    <cacheField name="Discount Amount" numFmtId="0">
      <sharedItems containsSemiMixedTypes="0" containsString="0" containsNumber="1" minValue="46.1" maxValue="27229.88"/>
    </cacheField>
    <cacheField name="Net Sales" numFmtId="0">
      <sharedItems containsSemiMixedTypes="0" containsString="0" containsNumber="1" minValue="427.8" maxValue="83912.47"/>
    </cacheField>
    <cacheField name="Payment Mode" numFmtId="0">
      <sharedItems count="5">
        <s v="Net Banking"/>
        <s v="Cash on Delivery"/>
        <s v="Credit Card"/>
        <s v="Debit Card"/>
        <s v="UPI"/>
      </sharedItems>
    </cacheField>
    <cacheField name="Delivery Status" numFmtId="0">
      <sharedItems count="3">
        <s v="Delivered"/>
        <s v="Pending"/>
        <s v="Cancelled"/>
      </sharedItems>
    </cacheField>
    <cacheField name="Profit Margin %" numFmtId="0">
      <sharedItems containsSemiMixedTypes="0" containsString="0" containsNumber="1" minValue="5.0599999999999996" maxValue="24.98"/>
    </cacheField>
    <cacheField name="Profit Amount" numFmtId="0">
      <sharedItems containsSemiMixedTypes="0" containsString="0" containsNumber="1" minValue="61.62" maxValue="18452.349999999999"/>
    </cacheField>
    <cacheField name="Days (Date)" numFmtId="0" databaseField="0">
      <fieldGroup base="1">
        <rangePr groupBy="days" startDate="2022-01-02T00:00:00" endDate="2023-01-01T00:00:00"/>
        <groupItems count="368">
          <s v="&lt;1/2/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3"/>
        </groupItems>
      </fieldGroup>
    </cacheField>
    <cacheField name="Months (Date)" numFmtId="0" databaseField="0">
      <fieldGroup base="1">
        <rangePr groupBy="months" startDate="2022-01-02T00:00:00" endDate="2023-01-01T00:00:00"/>
        <groupItems count="14">
          <s v="&lt;1/2/2022"/>
          <s v="Jan"/>
          <s v="Feb"/>
          <s v="Mar"/>
          <s v="Apr"/>
          <s v="May"/>
          <s v="Jun"/>
          <s v="Jul"/>
          <s v="Aug"/>
          <s v="Sep"/>
          <s v="Oct"/>
          <s v="Nov"/>
          <s v="Dec"/>
          <s v="&gt;1/1/2023"/>
        </groupItems>
      </fieldGroup>
    </cacheField>
  </cacheFields>
  <extLst>
    <ext xmlns:x14="http://schemas.microsoft.com/office/spreadsheetml/2009/9/main" uri="{725AE2AE-9491-48be-B2B4-4EB974FC3084}">
      <x14:pivotCacheDefinition pivotCacheId="32561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01"/>
    <x v="0"/>
    <s v="Customer 24"/>
    <s v="CUST7493"/>
    <x v="0"/>
    <x v="0"/>
    <x v="0"/>
    <x v="0"/>
    <x v="0"/>
    <s v="Kids Shorts"/>
    <s v="PROD39927"/>
    <n v="9"/>
    <n v="7767.87"/>
    <n v="69910.83"/>
    <n v="6.41"/>
    <n v="4481.28"/>
    <n v="65429.55"/>
    <x v="0"/>
    <x v="0"/>
    <n v="13.7"/>
    <n v="8963.85"/>
  </r>
  <r>
    <s v="ORD1002"/>
    <x v="1"/>
    <s v="Customer 99"/>
    <s v="CUST7085"/>
    <x v="1"/>
    <x v="1"/>
    <x v="0"/>
    <x v="1"/>
    <x v="1"/>
    <s v="Coffee Table"/>
    <s v="PROD36456"/>
    <n v="7"/>
    <n v="9055.67"/>
    <n v="63389.69"/>
    <n v="7.34"/>
    <n v="4652.8"/>
    <n v="58736.89"/>
    <x v="1"/>
    <x v="1"/>
    <n v="11.09"/>
    <n v="6513.92"/>
  </r>
  <r>
    <s v="ORD1003"/>
    <x v="2"/>
    <s v="Customer 9"/>
    <s v="CUST7314"/>
    <x v="1"/>
    <x v="2"/>
    <x v="1"/>
    <x v="0"/>
    <x v="2"/>
    <s v="Saree"/>
    <s v="PROD92709"/>
    <n v="7"/>
    <n v="2909.98"/>
    <n v="20369.86"/>
    <n v="11.73"/>
    <n v="2389.38"/>
    <n v="17980.48"/>
    <x v="0"/>
    <x v="1"/>
    <n v="7.22"/>
    <n v="1298.19"/>
  </r>
  <r>
    <s v="ORD1004"/>
    <x v="3"/>
    <s v="Customer 86"/>
    <s v="CUST4229"/>
    <x v="2"/>
    <x v="3"/>
    <x v="0"/>
    <x v="0"/>
    <x v="2"/>
    <s v="Kurti"/>
    <s v="PROD86454"/>
    <n v="6"/>
    <n v="2466.84"/>
    <n v="14801.04"/>
    <n v="8.44"/>
    <n v="1249.21"/>
    <n v="13551.83"/>
    <x v="2"/>
    <x v="2"/>
    <n v="15.16"/>
    <n v="2054.46"/>
  </r>
  <r>
    <s v="ORD1005"/>
    <x v="4"/>
    <s v="Customer 93"/>
    <s v="CUST2215"/>
    <x v="3"/>
    <x v="1"/>
    <x v="1"/>
    <x v="2"/>
    <x v="3"/>
    <s v="Dell Inspiron"/>
    <s v="PROD68382"/>
    <n v="8"/>
    <n v="8765.14"/>
    <n v="70121.119999999995"/>
    <n v="24.79"/>
    <n v="17383.03"/>
    <n v="52738.09"/>
    <x v="3"/>
    <x v="2"/>
    <n v="16.399999999999999"/>
    <n v="8649.0499999999993"/>
  </r>
  <r>
    <s v="ORD1006"/>
    <x v="5"/>
    <s v="Customer 73"/>
    <s v="CUST4034"/>
    <x v="1"/>
    <x v="4"/>
    <x v="0"/>
    <x v="0"/>
    <x v="0"/>
    <s v="Kids Jacket"/>
    <s v="PROD64579"/>
    <n v="8"/>
    <n v="4638.83"/>
    <n v="37110.639999999999"/>
    <n v="5.48"/>
    <n v="2033.66"/>
    <n v="35076.980000000003"/>
    <x v="4"/>
    <x v="0"/>
    <n v="18.420000000000002"/>
    <n v="6461.18"/>
  </r>
  <r>
    <s v="ORD1007"/>
    <x v="6"/>
    <s v="Customer 34"/>
    <s v="CUST7326"/>
    <x v="3"/>
    <x v="0"/>
    <x v="0"/>
    <x v="2"/>
    <x v="3"/>
    <s v="MacBook Air"/>
    <s v="PROD62434"/>
    <n v="2"/>
    <n v="5482.49"/>
    <n v="10964.98"/>
    <n v="23.03"/>
    <n v="2525.23"/>
    <n v="8439.75"/>
    <x v="1"/>
    <x v="2"/>
    <n v="5.0599999999999996"/>
    <n v="427.05"/>
  </r>
  <r>
    <s v="ORD1008"/>
    <x v="7"/>
    <s v="Customer 1"/>
    <s v="CUST1983"/>
    <x v="3"/>
    <x v="5"/>
    <x v="0"/>
    <x v="2"/>
    <x v="4"/>
    <s v="Samsung Galaxy S21"/>
    <s v="PROD95969"/>
    <n v="9"/>
    <n v="7297.5"/>
    <n v="65677.5"/>
    <n v="22.71"/>
    <n v="14915.36"/>
    <n v="50762.14"/>
    <x v="4"/>
    <x v="1"/>
    <n v="23.37"/>
    <n v="11863.11"/>
  </r>
  <r>
    <s v="ORD1009"/>
    <x v="8"/>
    <s v="Customer 57"/>
    <s v="CUST2533"/>
    <x v="0"/>
    <x v="6"/>
    <x v="0"/>
    <x v="2"/>
    <x v="3"/>
    <s v="MacBook Air"/>
    <s v="PROD50824"/>
    <n v="9"/>
    <n v="7265.32"/>
    <n v="65387.88"/>
    <n v="14.93"/>
    <n v="9762.41"/>
    <n v="55625.47"/>
    <x v="1"/>
    <x v="1"/>
    <n v="21.16"/>
    <n v="11770.35"/>
  </r>
  <r>
    <s v="ORD1010"/>
    <x v="9"/>
    <s v="Customer 71"/>
    <s v="CUST8861"/>
    <x v="0"/>
    <x v="5"/>
    <x v="0"/>
    <x v="0"/>
    <x v="0"/>
    <s v="Kids Shorts"/>
    <s v="PROD33963"/>
    <n v="9"/>
    <n v="5186.45"/>
    <n v="46678.05"/>
    <n v="4.92"/>
    <n v="2296.56"/>
    <n v="44381.49"/>
    <x v="0"/>
    <x v="1"/>
    <n v="24.98"/>
    <n v="11086.5"/>
  </r>
  <r>
    <s v="ORD1011"/>
    <x v="10"/>
    <s v="Customer 28"/>
    <s v="CUST9661"/>
    <x v="0"/>
    <x v="4"/>
    <x v="0"/>
    <x v="1"/>
    <x v="5"/>
    <s v="Office Chair"/>
    <s v="PROD29493"/>
    <n v="4"/>
    <n v="4910.28"/>
    <n v="19641.12"/>
    <n v="12.8"/>
    <n v="2514.06"/>
    <n v="17127.060000000001"/>
    <x v="0"/>
    <x v="0"/>
    <n v="19.28"/>
    <n v="3302.1"/>
  </r>
  <r>
    <s v="ORD1012"/>
    <x v="11"/>
    <s v="Customer 73"/>
    <s v="CUST6470"/>
    <x v="2"/>
    <x v="2"/>
    <x v="0"/>
    <x v="2"/>
    <x v="6"/>
    <s v="Samsung QLED"/>
    <s v="PROD37822"/>
    <n v="9"/>
    <n v="3118.91"/>
    <n v="28070.19"/>
    <n v="10.48"/>
    <n v="2941.76"/>
    <n v="25128.43"/>
    <x v="0"/>
    <x v="1"/>
    <n v="20.11"/>
    <n v="5053.33"/>
  </r>
  <r>
    <s v="ORD1013"/>
    <x v="12"/>
    <s v="Customer 9"/>
    <s v="CUST4332"/>
    <x v="3"/>
    <x v="2"/>
    <x v="1"/>
    <x v="1"/>
    <x v="5"/>
    <s v="Dining Chair"/>
    <s v="PROD12880"/>
    <n v="4"/>
    <n v="590.1"/>
    <n v="2360.4"/>
    <n v="9.24"/>
    <n v="218.1"/>
    <n v="2142.3000000000002"/>
    <x v="0"/>
    <x v="2"/>
    <n v="18.13"/>
    <n v="388.4"/>
  </r>
  <r>
    <s v="ORD1014"/>
    <x v="13"/>
    <s v="Customer 4"/>
    <s v="CUST8487"/>
    <x v="0"/>
    <x v="7"/>
    <x v="0"/>
    <x v="1"/>
    <x v="1"/>
    <s v="Study Table"/>
    <s v="PROD90066"/>
    <n v="9"/>
    <n v="4288.42"/>
    <n v="38595.78"/>
    <n v="29.69"/>
    <n v="11459.09"/>
    <n v="27136.69"/>
    <x v="2"/>
    <x v="0"/>
    <n v="11.03"/>
    <n v="2993.18"/>
  </r>
  <r>
    <s v="ORD1015"/>
    <x v="14"/>
    <s v="Customer 50"/>
    <s v="CUST1809"/>
    <x v="2"/>
    <x v="8"/>
    <x v="1"/>
    <x v="2"/>
    <x v="4"/>
    <s v="OnePlus 9"/>
    <s v="PROD33750"/>
    <n v="10"/>
    <n v="400.56"/>
    <n v="4005.6"/>
    <n v="23.77"/>
    <n v="952.13"/>
    <n v="3053.47"/>
    <x v="2"/>
    <x v="2"/>
    <n v="24.66"/>
    <n v="752.99"/>
  </r>
  <r>
    <s v="ORD1016"/>
    <x v="15"/>
    <s v="Customer 11"/>
    <s v="CUST2243"/>
    <x v="3"/>
    <x v="0"/>
    <x v="0"/>
    <x v="2"/>
    <x v="4"/>
    <s v="OnePlus 9"/>
    <s v="PROD30423"/>
    <n v="9"/>
    <n v="3720.32"/>
    <n v="33482.879999999997"/>
    <n v="11.53"/>
    <n v="3860.58"/>
    <n v="29622.3"/>
    <x v="2"/>
    <x v="0"/>
    <n v="19.7"/>
    <n v="5835.59"/>
  </r>
  <r>
    <s v="ORD1017"/>
    <x v="16"/>
    <s v="Customer 38"/>
    <s v="CUST9282"/>
    <x v="3"/>
    <x v="9"/>
    <x v="0"/>
    <x v="0"/>
    <x v="2"/>
    <s v="Kurti"/>
    <s v="PROD12891"/>
    <n v="6"/>
    <n v="7344.29"/>
    <n v="44065.74"/>
    <n v="4.8499999999999996"/>
    <n v="2137.19"/>
    <n v="41928.550000000003"/>
    <x v="4"/>
    <x v="1"/>
    <n v="23.88"/>
    <n v="10012.540000000001"/>
  </r>
  <r>
    <s v="ORD1018"/>
    <x v="3"/>
    <s v="Customer 12"/>
    <s v="CUST9564"/>
    <x v="2"/>
    <x v="0"/>
    <x v="0"/>
    <x v="0"/>
    <x v="2"/>
    <s v="Saree"/>
    <s v="PROD99824"/>
    <n v="1"/>
    <n v="1204.32"/>
    <n v="1204.32"/>
    <n v="28.83"/>
    <n v="347.21"/>
    <n v="857.11"/>
    <x v="3"/>
    <x v="2"/>
    <n v="13.41"/>
    <n v="114.94"/>
  </r>
  <r>
    <s v="ORD1019"/>
    <x v="17"/>
    <s v="Customer 71"/>
    <s v="CUST9381"/>
    <x v="0"/>
    <x v="1"/>
    <x v="0"/>
    <x v="0"/>
    <x v="2"/>
    <s v="Saree"/>
    <s v="PROD36020"/>
    <n v="6"/>
    <n v="8869.7000000000007"/>
    <n v="53218.2"/>
    <n v="14.71"/>
    <n v="7828.4"/>
    <n v="45389.8"/>
    <x v="4"/>
    <x v="1"/>
    <n v="17.45"/>
    <n v="7920.52"/>
  </r>
  <r>
    <s v="ORD1020"/>
    <x v="18"/>
    <s v="Customer 30"/>
    <s v="CUST4741"/>
    <x v="2"/>
    <x v="3"/>
    <x v="0"/>
    <x v="0"/>
    <x v="2"/>
    <s v="Kurti"/>
    <s v="PROD87660"/>
    <n v="10"/>
    <n v="7081.83"/>
    <n v="70818.3"/>
    <n v="14.48"/>
    <n v="10254.49"/>
    <n v="60563.81"/>
    <x v="3"/>
    <x v="0"/>
    <n v="20.45"/>
    <n v="12385.3"/>
  </r>
  <r>
    <s v="ORD1021"/>
    <x v="19"/>
    <s v="Customer 55"/>
    <s v="CUST9756"/>
    <x v="3"/>
    <x v="3"/>
    <x v="0"/>
    <x v="2"/>
    <x v="6"/>
    <s v="Sony Bravia"/>
    <s v="PROD52194"/>
    <n v="5"/>
    <n v="1435.25"/>
    <n v="7176.25"/>
    <n v="7.31"/>
    <n v="524.58000000000004"/>
    <n v="6651.67"/>
    <x v="4"/>
    <x v="1"/>
    <n v="22.52"/>
    <n v="1497.96"/>
  </r>
  <r>
    <s v="ORD1022"/>
    <x v="20"/>
    <s v="Customer 49"/>
    <s v="CUST6973"/>
    <x v="3"/>
    <x v="2"/>
    <x v="0"/>
    <x v="1"/>
    <x v="7"/>
    <s v="Two-Seater Sofa"/>
    <s v="PROD71094"/>
    <n v="7"/>
    <n v="4599.62"/>
    <n v="32197.34"/>
    <n v="17.79"/>
    <n v="5727.91"/>
    <n v="26469.43"/>
    <x v="1"/>
    <x v="0"/>
    <n v="8.27"/>
    <n v="2189.02"/>
  </r>
  <r>
    <s v="ORD1023"/>
    <x v="6"/>
    <s v="Customer 42"/>
    <s v="CUST5762"/>
    <x v="2"/>
    <x v="7"/>
    <x v="0"/>
    <x v="2"/>
    <x v="3"/>
    <s v="HP Pavilion"/>
    <s v="PROD47286"/>
    <n v="10"/>
    <n v="9787.8799999999992"/>
    <n v="97878.8"/>
    <n v="27.82"/>
    <n v="27229.88"/>
    <n v="70648.92"/>
    <x v="4"/>
    <x v="0"/>
    <n v="13.09"/>
    <n v="9247.94"/>
  </r>
  <r>
    <s v="ORD1024"/>
    <x v="21"/>
    <s v="Customer 93"/>
    <s v="CUST1897"/>
    <x v="0"/>
    <x v="2"/>
    <x v="0"/>
    <x v="2"/>
    <x v="6"/>
    <s v="Sony Bravia"/>
    <s v="PROD48483"/>
    <n v="5"/>
    <n v="6682.68"/>
    <n v="33413.4"/>
    <n v="7.41"/>
    <n v="2475.9299999999998"/>
    <n v="30937.47"/>
    <x v="1"/>
    <x v="2"/>
    <n v="24.41"/>
    <n v="7551.84"/>
  </r>
  <r>
    <s v="ORD1025"/>
    <x v="22"/>
    <s v="Customer 92"/>
    <s v="CUST5752"/>
    <x v="1"/>
    <x v="6"/>
    <x v="0"/>
    <x v="0"/>
    <x v="2"/>
    <s v="Saree"/>
    <s v="PROD84015"/>
    <n v="5"/>
    <n v="2395.79"/>
    <n v="11978.95"/>
    <n v="26.16"/>
    <n v="3133.69"/>
    <n v="8845.26"/>
    <x v="1"/>
    <x v="2"/>
    <n v="18.829999999999998"/>
    <n v="1665.56"/>
  </r>
  <r>
    <s v="ORD1026"/>
    <x v="23"/>
    <s v="Customer 78"/>
    <s v="CUST5979"/>
    <x v="3"/>
    <x v="1"/>
    <x v="0"/>
    <x v="1"/>
    <x v="1"/>
    <s v="Coffee Table"/>
    <s v="PROD87073"/>
    <n v="8"/>
    <n v="9162.5499999999993"/>
    <n v="73300.399999999994"/>
    <n v="28.3"/>
    <n v="20744.009999999998"/>
    <n v="52556.39"/>
    <x v="2"/>
    <x v="0"/>
    <n v="23.88"/>
    <n v="12550.47"/>
  </r>
  <r>
    <s v="ORD1027"/>
    <x v="24"/>
    <s v="Customer 60"/>
    <s v="CUST7652"/>
    <x v="0"/>
    <x v="8"/>
    <x v="0"/>
    <x v="1"/>
    <x v="7"/>
    <s v="L-Shaped Sofa"/>
    <s v="PROD79997"/>
    <n v="4"/>
    <n v="5117.46"/>
    <n v="20469.84"/>
    <n v="6.43"/>
    <n v="1316.21"/>
    <n v="19153.63"/>
    <x v="1"/>
    <x v="0"/>
    <n v="11.15"/>
    <n v="2135.63"/>
  </r>
  <r>
    <s v="ORD1028"/>
    <x v="25"/>
    <s v="Customer 22"/>
    <s v="CUST4096"/>
    <x v="2"/>
    <x v="7"/>
    <x v="1"/>
    <x v="0"/>
    <x v="2"/>
    <s v="Saree"/>
    <s v="PROD45107"/>
    <n v="9"/>
    <n v="1153.32"/>
    <n v="10379.879999999999"/>
    <n v="10.91"/>
    <n v="1132.44"/>
    <n v="9247.44"/>
    <x v="0"/>
    <x v="1"/>
    <n v="22.58"/>
    <n v="2088.0700000000002"/>
  </r>
  <r>
    <s v="ORD1029"/>
    <x v="26"/>
    <s v="Customer 36"/>
    <s v="CUST6712"/>
    <x v="3"/>
    <x v="5"/>
    <x v="0"/>
    <x v="1"/>
    <x v="7"/>
    <s v="Two-Seater Sofa"/>
    <s v="PROD38248"/>
    <n v="1"/>
    <n v="8261.89"/>
    <n v="8261.89"/>
    <n v="9.57"/>
    <n v="790.66"/>
    <n v="7471.23"/>
    <x v="1"/>
    <x v="2"/>
    <n v="16.47"/>
    <n v="1230.51"/>
  </r>
  <r>
    <s v="ORD1030"/>
    <x v="27"/>
    <s v="Customer 8"/>
    <s v="CUST7442"/>
    <x v="2"/>
    <x v="4"/>
    <x v="0"/>
    <x v="0"/>
    <x v="8"/>
    <s v="Jacket"/>
    <s v="PROD78471"/>
    <n v="1"/>
    <n v="740.08"/>
    <n v="740.08"/>
    <n v="27.41"/>
    <n v="202.86"/>
    <n v="537.22"/>
    <x v="0"/>
    <x v="1"/>
    <n v="11.47"/>
    <n v="61.62"/>
  </r>
  <r>
    <s v="ORD1031"/>
    <x v="28"/>
    <s v="Customer 13"/>
    <s v="CUST2182"/>
    <x v="0"/>
    <x v="6"/>
    <x v="0"/>
    <x v="0"/>
    <x v="2"/>
    <s v="Dress"/>
    <s v="PROD74462"/>
    <n v="9"/>
    <n v="6754.4"/>
    <n v="60789.599999999999"/>
    <n v="22.18"/>
    <n v="13483.13"/>
    <n v="47306.47"/>
    <x v="3"/>
    <x v="0"/>
    <n v="21.93"/>
    <n v="10374.31"/>
  </r>
  <r>
    <s v="ORD1032"/>
    <x v="29"/>
    <s v="Customer 41"/>
    <s v="CUST6824"/>
    <x v="0"/>
    <x v="1"/>
    <x v="1"/>
    <x v="0"/>
    <x v="2"/>
    <s v="Saree"/>
    <s v="PROD98389"/>
    <n v="10"/>
    <n v="6428.28"/>
    <n v="64282.8"/>
    <n v="5.51"/>
    <n v="3541.98"/>
    <n v="60740.82"/>
    <x v="0"/>
    <x v="2"/>
    <n v="13.41"/>
    <n v="8145.34"/>
  </r>
  <r>
    <s v="ORD1033"/>
    <x v="19"/>
    <s v="Customer 97"/>
    <s v="CUST7837"/>
    <x v="1"/>
    <x v="7"/>
    <x v="1"/>
    <x v="1"/>
    <x v="1"/>
    <s v="Study Table"/>
    <s v="PROD58729"/>
    <n v="7"/>
    <n v="9226.5"/>
    <n v="64585.5"/>
    <n v="26.7"/>
    <n v="17244.330000000002"/>
    <n v="47341.17"/>
    <x v="3"/>
    <x v="1"/>
    <n v="13.71"/>
    <n v="6490.47"/>
  </r>
  <r>
    <s v="ORD1034"/>
    <x v="30"/>
    <s v="Customer 65"/>
    <s v="CUST3930"/>
    <x v="2"/>
    <x v="1"/>
    <x v="1"/>
    <x v="2"/>
    <x v="4"/>
    <s v="OnePlus 9"/>
    <s v="PROD56407"/>
    <n v="8"/>
    <n v="2357.65"/>
    <n v="18861.2"/>
    <n v="17.75"/>
    <n v="3347.86"/>
    <n v="15513.34"/>
    <x v="1"/>
    <x v="0"/>
    <n v="22.59"/>
    <n v="3504.46"/>
  </r>
  <r>
    <s v="ORD1035"/>
    <x v="31"/>
    <s v="Customer 55"/>
    <s v="CUST6838"/>
    <x v="1"/>
    <x v="2"/>
    <x v="0"/>
    <x v="2"/>
    <x v="3"/>
    <s v="HP Pavilion"/>
    <s v="PROD39711"/>
    <n v="5"/>
    <n v="5115.55"/>
    <n v="25577.75"/>
    <n v="1.62"/>
    <n v="414.36"/>
    <n v="25163.39"/>
    <x v="3"/>
    <x v="2"/>
    <n v="15.39"/>
    <n v="3872.65"/>
  </r>
  <r>
    <s v="ORD1036"/>
    <x v="32"/>
    <s v="Customer 49"/>
    <s v="CUST9398"/>
    <x v="0"/>
    <x v="5"/>
    <x v="0"/>
    <x v="0"/>
    <x v="2"/>
    <s v="Dress"/>
    <s v="PROD45058"/>
    <n v="2"/>
    <n v="8620.01"/>
    <n v="17240.02"/>
    <n v="27.68"/>
    <n v="4772.04"/>
    <n v="12467.98"/>
    <x v="4"/>
    <x v="2"/>
    <n v="24.35"/>
    <n v="3035.95"/>
  </r>
  <r>
    <s v="ORD1037"/>
    <x v="33"/>
    <s v="Customer 62"/>
    <s v="CUST7429"/>
    <x v="2"/>
    <x v="5"/>
    <x v="0"/>
    <x v="2"/>
    <x v="6"/>
    <s v="LG OLED"/>
    <s v="PROD56392"/>
    <n v="2"/>
    <n v="7572.25"/>
    <n v="15144.5"/>
    <n v="13.55"/>
    <n v="2052.08"/>
    <n v="13092.42"/>
    <x v="0"/>
    <x v="0"/>
    <n v="7.04"/>
    <n v="921.71"/>
  </r>
  <r>
    <s v="ORD1038"/>
    <x v="17"/>
    <s v="Customer 82"/>
    <s v="CUST2286"/>
    <x v="0"/>
    <x v="6"/>
    <x v="0"/>
    <x v="1"/>
    <x v="1"/>
    <s v="Coffee Table"/>
    <s v="PROD39527"/>
    <n v="2"/>
    <n v="2790.41"/>
    <n v="5580.82"/>
    <n v="21.62"/>
    <n v="1206.57"/>
    <n v="4374.25"/>
    <x v="1"/>
    <x v="2"/>
    <n v="17.77"/>
    <n v="777.3"/>
  </r>
  <r>
    <s v="ORD1039"/>
    <x v="34"/>
    <s v="Customer 37"/>
    <s v="CUST9656"/>
    <x v="3"/>
    <x v="6"/>
    <x v="0"/>
    <x v="2"/>
    <x v="4"/>
    <s v="iPhone 13"/>
    <s v="PROD32374"/>
    <n v="4"/>
    <n v="6139.29"/>
    <n v="24557.16"/>
    <n v="16.22"/>
    <n v="3983.17"/>
    <n v="20573.990000000002"/>
    <x v="4"/>
    <x v="1"/>
    <n v="16.489999999999998"/>
    <n v="3392.65"/>
  </r>
  <r>
    <s v="ORD1040"/>
    <x v="35"/>
    <s v="Customer 51"/>
    <s v="CUST7331"/>
    <x v="3"/>
    <x v="1"/>
    <x v="0"/>
    <x v="1"/>
    <x v="7"/>
    <s v="Recliner Sofa"/>
    <s v="PROD41552"/>
    <n v="10"/>
    <n v="9165.19"/>
    <n v="91651.9"/>
    <n v="16.670000000000002"/>
    <n v="15278.37"/>
    <n v="76373.53"/>
    <x v="4"/>
    <x v="1"/>
    <n v="7.07"/>
    <n v="5399.61"/>
  </r>
  <r>
    <s v="ORD1041"/>
    <x v="36"/>
    <s v="Customer 61"/>
    <s v="CUST3193"/>
    <x v="0"/>
    <x v="7"/>
    <x v="0"/>
    <x v="0"/>
    <x v="2"/>
    <s v="Dress"/>
    <s v="PROD55150"/>
    <n v="6"/>
    <n v="3378.16"/>
    <n v="20268.96"/>
    <n v="25.08"/>
    <n v="5083.46"/>
    <n v="15185.5"/>
    <x v="4"/>
    <x v="0"/>
    <n v="10.09"/>
    <n v="1532.22"/>
  </r>
  <r>
    <s v="ORD1042"/>
    <x v="0"/>
    <s v="Customer 30"/>
    <s v="CUST2890"/>
    <x v="1"/>
    <x v="9"/>
    <x v="1"/>
    <x v="2"/>
    <x v="3"/>
    <s v="HP Pavilion"/>
    <s v="PROD69398"/>
    <n v="3"/>
    <n v="5816.26"/>
    <n v="17448.78"/>
    <n v="15.3"/>
    <n v="2669.66"/>
    <n v="14779.12"/>
    <x v="1"/>
    <x v="2"/>
    <n v="9.9600000000000009"/>
    <n v="1472"/>
  </r>
  <r>
    <s v="ORD1043"/>
    <x v="22"/>
    <s v="Customer 96"/>
    <s v="CUST4607"/>
    <x v="0"/>
    <x v="9"/>
    <x v="1"/>
    <x v="2"/>
    <x v="4"/>
    <s v="OnePlus 9"/>
    <s v="PROD40738"/>
    <n v="7"/>
    <n v="996.65"/>
    <n v="6976.55"/>
    <n v="8.4700000000000006"/>
    <n v="590.91"/>
    <n v="6385.64"/>
    <x v="4"/>
    <x v="2"/>
    <n v="20.83"/>
    <n v="1330.13"/>
  </r>
  <r>
    <s v="ORD1044"/>
    <x v="37"/>
    <s v="Customer 30"/>
    <s v="CUST4429"/>
    <x v="3"/>
    <x v="6"/>
    <x v="0"/>
    <x v="0"/>
    <x v="8"/>
    <s v="Jacket"/>
    <s v="PROD61030"/>
    <n v="8"/>
    <n v="9746.09"/>
    <n v="77968.72"/>
    <n v="23.68"/>
    <n v="18462.990000000002"/>
    <n v="59505.73"/>
    <x v="3"/>
    <x v="2"/>
    <n v="13.66"/>
    <n v="8128.48"/>
  </r>
  <r>
    <s v="ORD1045"/>
    <x v="38"/>
    <s v="Customer 81"/>
    <s v="CUST6679"/>
    <x v="3"/>
    <x v="4"/>
    <x v="1"/>
    <x v="1"/>
    <x v="1"/>
    <s v="Dining Table"/>
    <s v="PROD69483"/>
    <n v="5"/>
    <n v="7805.65"/>
    <n v="39028.25"/>
    <n v="24.03"/>
    <n v="9378.49"/>
    <n v="29649.759999999998"/>
    <x v="3"/>
    <x v="0"/>
    <n v="14.65"/>
    <n v="4343.6899999999996"/>
  </r>
  <r>
    <s v="ORD1046"/>
    <x v="39"/>
    <s v="Customer 84"/>
    <s v="CUST8714"/>
    <x v="1"/>
    <x v="0"/>
    <x v="1"/>
    <x v="1"/>
    <x v="1"/>
    <s v="Study Table"/>
    <s v="PROD22297"/>
    <n v="7"/>
    <n v="505.17"/>
    <n v="3536.19"/>
    <n v="19.649999999999999"/>
    <n v="694.86"/>
    <n v="2841.33"/>
    <x v="2"/>
    <x v="2"/>
    <n v="7.06"/>
    <n v="200.6"/>
  </r>
  <r>
    <s v="ORD1047"/>
    <x v="6"/>
    <s v="Customer 32"/>
    <s v="CUST9472"/>
    <x v="2"/>
    <x v="3"/>
    <x v="0"/>
    <x v="2"/>
    <x v="3"/>
    <s v="MacBook Air"/>
    <s v="PROD35494"/>
    <n v="8"/>
    <n v="6665.97"/>
    <n v="53327.76"/>
    <n v="18.510000000000002"/>
    <n v="9870.9699999999993"/>
    <n v="43456.79"/>
    <x v="3"/>
    <x v="1"/>
    <n v="14.03"/>
    <n v="6096.99"/>
  </r>
  <r>
    <s v="ORD1048"/>
    <x v="40"/>
    <s v="Customer 53"/>
    <s v="CUST8720"/>
    <x v="1"/>
    <x v="9"/>
    <x v="0"/>
    <x v="0"/>
    <x v="0"/>
    <s v="Kids Shorts"/>
    <s v="PROD73986"/>
    <n v="5"/>
    <n v="3986.92"/>
    <n v="19934.599999999999"/>
    <n v="23.24"/>
    <n v="4632.8"/>
    <n v="15301.8"/>
    <x v="1"/>
    <x v="2"/>
    <n v="5.62"/>
    <n v="859.96"/>
  </r>
  <r>
    <s v="ORD1049"/>
    <x v="41"/>
    <s v="Customer 82"/>
    <s v="CUST5993"/>
    <x v="1"/>
    <x v="7"/>
    <x v="0"/>
    <x v="2"/>
    <x v="3"/>
    <s v="MacBook Air"/>
    <s v="PROD71132"/>
    <n v="9"/>
    <n v="534.26"/>
    <n v="4808.34"/>
    <n v="20.05"/>
    <n v="964.07"/>
    <n v="3844.27"/>
    <x v="1"/>
    <x v="2"/>
    <n v="19.75"/>
    <n v="759.24"/>
  </r>
  <r>
    <s v="ORD1050"/>
    <x v="42"/>
    <s v="Customer 100"/>
    <s v="CUST2505"/>
    <x v="3"/>
    <x v="6"/>
    <x v="1"/>
    <x v="0"/>
    <x v="8"/>
    <s v="Jeans"/>
    <s v="PROD53089"/>
    <n v="5"/>
    <n v="9506.84"/>
    <n v="47534.2"/>
    <n v="21.67"/>
    <n v="10300.66"/>
    <n v="37233.54"/>
    <x v="0"/>
    <x v="0"/>
    <n v="6.15"/>
    <n v="2289.86"/>
  </r>
  <r>
    <s v="ORD1051"/>
    <x v="43"/>
    <s v="Customer 23"/>
    <s v="CUST6734"/>
    <x v="1"/>
    <x v="6"/>
    <x v="1"/>
    <x v="0"/>
    <x v="8"/>
    <s v="Jeans"/>
    <s v="PROD45401"/>
    <n v="10"/>
    <n v="1098.3499999999999"/>
    <n v="10983.5"/>
    <n v="10.32"/>
    <n v="1133.5"/>
    <n v="9850"/>
    <x v="0"/>
    <x v="1"/>
    <n v="24.42"/>
    <n v="2405.37"/>
  </r>
  <r>
    <s v="ORD1052"/>
    <x v="44"/>
    <s v="Customer 55"/>
    <s v="CUST4311"/>
    <x v="2"/>
    <x v="0"/>
    <x v="0"/>
    <x v="2"/>
    <x v="6"/>
    <s v="LG OLED"/>
    <s v="PROD94427"/>
    <n v="1"/>
    <n v="580.37"/>
    <n v="580.37"/>
    <n v="18.100000000000001"/>
    <n v="105.05"/>
    <n v="475.32"/>
    <x v="4"/>
    <x v="1"/>
    <n v="16.02"/>
    <n v="76.150000000000006"/>
  </r>
  <r>
    <s v="ORD1053"/>
    <x v="45"/>
    <s v="Customer 62"/>
    <s v="CUST1111"/>
    <x v="2"/>
    <x v="4"/>
    <x v="0"/>
    <x v="0"/>
    <x v="8"/>
    <s v="Jeans"/>
    <s v="PROD73216"/>
    <n v="5"/>
    <n v="1506.54"/>
    <n v="7532.7"/>
    <n v="21.03"/>
    <n v="1584.13"/>
    <n v="5948.57"/>
    <x v="0"/>
    <x v="2"/>
    <n v="5.74"/>
    <n v="341.45"/>
  </r>
  <r>
    <s v="ORD1054"/>
    <x v="46"/>
    <s v="Customer 40"/>
    <s v="CUST1355"/>
    <x v="0"/>
    <x v="5"/>
    <x v="0"/>
    <x v="2"/>
    <x v="3"/>
    <s v="Dell Inspiron"/>
    <s v="PROD20217"/>
    <n v="6"/>
    <n v="9009.65"/>
    <n v="54057.9"/>
    <n v="5.96"/>
    <n v="3221.85"/>
    <n v="50836.05"/>
    <x v="1"/>
    <x v="0"/>
    <n v="24.11"/>
    <n v="12256.57"/>
  </r>
  <r>
    <s v="ORD1055"/>
    <x v="47"/>
    <s v="Customer 39"/>
    <s v="CUST3909"/>
    <x v="0"/>
    <x v="7"/>
    <x v="0"/>
    <x v="2"/>
    <x v="6"/>
    <s v="Samsung QLED"/>
    <s v="PROD27055"/>
    <n v="1"/>
    <n v="4079.2"/>
    <n v="4079.2"/>
    <n v="21.3"/>
    <n v="868.87"/>
    <n v="3210.33"/>
    <x v="0"/>
    <x v="0"/>
    <n v="18.52"/>
    <n v="594.54999999999995"/>
  </r>
  <r>
    <s v="ORD1056"/>
    <x v="48"/>
    <s v="Customer 27"/>
    <s v="CUST6636"/>
    <x v="2"/>
    <x v="9"/>
    <x v="0"/>
    <x v="2"/>
    <x v="3"/>
    <s v="Dell Inspiron"/>
    <s v="PROD10897"/>
    <n v="9"/>
    <n v="743.13"/>
    <n v="6688.17"/>
    <n v="5.65"/>
    <n v="377.88"/>
    <n v="6310.29"/>
    <x v="1"/>
    <x v="2"/>
    <n v="5.2"/>
    <n v="328.14"/>
  </r>
  <r>
    <s v="ORD1057"/>
    <x v="49"/>
    <s v="Customer 5"/>
    <s v="CUST1207"/>
    <x v="1"/>
    <x v="2"/>
    <x v="1"/>
    <x v="1"/>
    <x v="5"/>
    <s v="Office Chair"/>
    <s v="PROD18938"/>
    <n v="7"/>
    <n v="9008.66"/>
    <n v="63060.62"/>
    <n v="13.76"/>
    <n v="8677.14"/>
    <n v="54383.48"/>
    <x v="1"/>
    <x v="0"/>
    <n v="6.88"/>
    <n v="3741.58"/>
  </r>
  <r>
    <s v="ORD1058"/>
    <x v="50"/>
    <s v="Customer 23"/>
    <s v="CUST6307"/>
    <x v="3"/>
    <x v="7"/>
    <x v="0"/>
    <x v="0"/>
    <x v="2"/>
    <s v="Kurti"/>
    <s v="PROD16765"/>
    <n v="9"/>
    <n v="9716.14"/>
    <n v="87445.26"/>
    <n v="4.04"/>
    <n v="3532.79"/>
    <n v="83912.47"/>
    <x v="1"/>
    <x v="1"/>
    <n v="21.99"/>
    <n v="18452.349999999999"/>
  </r>
  <r>
    <s v="ORD1059"/>
    <x v="51"/>
    <s v="Customer 50"/>
    <s v="CUST6216"/>
    <x v="1"/>
    <x v="6"/>
    <x v="0"/>
    <x v="2"/>
    <x v="3"/>
    <s v="MacBook Air"/>
    <s v="PROD17166"/>
    <n v="1"/>
    <n v="5073.16"/>
    <n v="5073.16"/>
    <n v="15.21"/>
    <n v="771.63"/>
    <n v="4301.53"/>
    <x v="1"/>
    <x v="1"/>
    <n v="16.64"/>
    <n v="715.77"/>
  </r>
  <r>
    <s v="ORD1060"/>
    <x v="52"/>
    <s v="Customer 64"/>
    <s v="CUST8145"/>
    <x v="3"/>
    <x v="8"/>
    <x v="1"/>
    <x v="1"/>
    <x v="1"/>
    <s v="Coffee Table"/>
    <s v="PROD30891"/>
    <n v="7"/>
    <n v="9530.43"/>
    <n v="66713.009999999995"/>
    <n v="4.12"/>
    <n v="2748.58"/>
    <n v="63964.43"/>
    <x v="3"/>
    <x v="0"/>
    <n v="22.29"/>
    <n v="14257.67"/>
  </r>
  <r>
    <s v="ORD1061"/>
    <x v="53"/>
    <s v="Customer 16"/>
    <s v="CUST8957"/>
    <x v="0"/>
    <x v="4"/>
    <x v="0"/>
    <x v="2"/>
    <x v="6"/>
    <s v="Samsung QLED"/>
    <s v="PROD21749"/>
    <n v="10"/>
    <n v="4020.89"/>
    <n v="40208.9"/>
    <n v="26.86"/>
    <n v="10800.11"/>
    <n v="29408.79"/>
    <x v="1"/>
    <x v="2"/>
    <n v="5.99"/>
    <n v="1761.59"/>
  </r>
  <r>
    <s v="ORD1062"/>
    <x v="54"/>
    <s v="Customer 88"/>
    <s v="CUST5935"/>
    <x v="2"/>
    <x v="8"/>
    <x v="1"/>
    <x v="1"/>
    <x v="1"/>
    <s v="Coffee Table"/>
    <s v="PROD66697"/>
    <n v="2"/>
    <n v="2605.9699999999998"/>
    <n v="5211.9399999999996"/>
    <n v="2.74"/>
    <n v="142.81"/>
    <n v="5069.13"/>
    <x v="0"/>
    <x v="0"/>
    <n v="15.19"/>
    <n v="770"/>
  </r>
  <r>
    <s v="ORD1063"/>
    <x v="55"/>
    <s v="Customer 33"/>
    <s v="CUST7407"/>
    <x v="2"/>
    <x v="5"/>
    <x v="0"/>
    <x v="1"/>
    <x v="7"/>
    <s v="Recliner Sofa"/>
    <s v="PROD27736"/>
    <n v="5"/>
    <n v="6009.32"/>
    <n v="30046.6"/>
    <n v="20.69"/>
    <n v="6216.64"/>
    <n v="23829.96"/>
    <x v="2"/>
    <x v="1"/>
    <n v="22.9"/>
    <n v="5457.06"/>
  </r>
  <r>
    <s v="ORD1064"/>
    <x v="18"/>
    <s v="Customer 37"/>
    <s v="CUST8567"/>
    <x v="0"/>
    <x v="8"/>
    <x v="0"/>
    <x v="1"/>
    <x v="7"/>
    <s v="Recliner Sofa"/>
    <s v="PROD90785"/>
    <n v="10"/>
    <n v="3411.54"/>
    <n v="34115.4"/>
    <n v="17.239999999999998"/>
    <n v="5881.49"/>
    <n v="28233.91"/>
    <x v="2"/>
    <x v="1"/>
    <n v="8.89"/>
    <n v="2509.9899999999998"/>
  </r>
  <r>
    <s v="ORD1065"/>
    <x v="56"/>
    <s v="Customer 69"/>
    <s v="CUST6817"/>
    <x v="0"/>
    <x v="9"/>
    <x v="1"/>
    <x v="0"/>
    <x v="8"/>
    <s v="Jeans"/>
    <s v="PROD97125"/>
    <n v="7"/>
    <n v="9575.77"/>
    <n v="67030.39"/>
    <n v="28.22"/>
    <n v="18915.98"/>
    <n v="48114.41"/>
    <x v="3"/>
    <x v="2"/>
    <n v="14.01"/>
    <n v="6740.83"/>
  </r>
  <r>
    <s v="ORD1066"/>
    <x v="57"/>
    <s v="Customer 81"/>
    <s v="CUST6749"/>
    <x v="3"/>
    <x v="3"/>
    <x v="0"/>
    <x v="2"/>
    <x v="4"/>
    <s v="OnePlus 9"/>
    <s v="PROD55276"/>
    <n v="6"/>
    <n v="7683.37"/>
    <n v="46100.22"/>
    <n v="0.1"/>
    <n v="46.1"/>
    <n v="46054.12"/>
    <x v="3"/>
    <x v="0"/>
    <n v="9.5299999999999994"/>
    <n v="4388.96"/>
  </r>
  <r>
    <s v="ORD1067"/>
    <x v="58"/>
    <s v="Customer 85"/>
    <s v="CUST2196"/>
    <x v="0"/>
    <x v="8"/>
    <x v="1"/>
    <x v="1"/>
    <x v="5"/>
    <s v="Office Chair"/>
    <s v="PROD97797"/>
    <n v="8"/>
    <n v="3989.49"/>
    <n v="31915.919999999998"/>
    <n v="2.56"/>
    <n v="817.05"/>
    <n v="31098.87"/>
    <x v="4"/>
    <x v="0"/>
    <n v="10.88"/>
    <n v="3383.56"/>
  </r>
  <r>
    <s v="ORD1068"/>
    <x v="59"/>
    <s v="Customer 5"/>
    <s v="CUST4053"/>
    <x v="3"/>
    <x v="3"/>
    <x v="0"/>
    <x v="0"/>
    <x v="0"/>
    <s v="Kids Shorts"/>
    <s v="PROD73189"/>
    <n v="1"/>
    <n v="7211.62"/>
    <n v="7211.62"/>
    <n v="21.42"/>
    <n v="1544.73"/>
    <n v="5666.89"/>
    <x v="0"/>
    <x v="2"/>
    <n v="21.07"/>
    <n v="1194.01"/>
  </r>
  <r>
    <s v="ORD1069"/>
    <x v="60"/>
    <s v="Customer 5"/>
    <s v="CUST3751"/>
    <x v="0"/>
    <x v="0"/>
    <x v="0"/>
    <x v="1"/>
    <x v="7"/>
    <s v="L-Shaped Sofa"/>
    <s v="PROD21141"/>
    <n v="4"/>
    <n v="8718.56"/>
    <n v="34874.239999999998"/>
    <n v="27.53"/>
    <n v="9600.8799999999992"/>
    <n v="25273.360000000001"/>
    <x v="3"/>
    <x v="2"/>
    <n v="15.52"/>
    <n v="3922.43"/>
  </r>
  <r>
    <s v="ORD1070"/>
    <x v="61"/>
    <s v="Customer 55"/>
    <s v="CUST3803"/>
    <x v="0"/>
    <x v="0"/>
    <x v="0"/>
    <x v="1"/>
    <x v="5"/>
    <s v="Dining Chair"/>
    <s v="PROD75905"/>
    <n v="8"/>
    <n v="3576.8"/>
    <n v="28614.400000000001"/>
    <n v="12.11"/>
    <n v="3465.2"/>
    <n v="25149.200000000001"/>
    <x v="4"/>
    <x v="0"/>
    <n v="9.84"/>
    <n v="2474.6799999999998"/>
  </r>
  <r>
    <s v="ORD1071"/>
    <x v="62"/>
    <s v="Customer 6"/>
    <s v="CUST7535"/>
    <x v="1"/>
    <x v="9"/>
    <x v="0"/>
    <x v="0"/>
    <x v="0"/>
    <s v="Kids T-Shirt"/>
    <s v="PROD60638"/>
    <n v="1"/>
    <n v="3601.79"/>
    <n v="3601.79"/>
    <n v="17.95"/>
    <n v="646.52"/>
    <n v="2955.27"/>
    <x v="4"/>
    <x v="0"/>
    <n v="24.32"/>
    <n v="718.72"/>
  </r>
  <r>
    <s v="ORD1072"/>
    <x v="63"/>
    <s v="Customer 67"/>
    <s v="CUST6854"/>
    <x v="3"/>
    <x v="9"/>
    <x v="1"/>
    <x v="2"/>
    <x v="4"/>
    <s v="OnePlus 9"/>
    <s v="PROD23612"/>
    <n v="7"/>
    <n v="5744.19"/>
    <n v="40209.33"/>
    <n v="10.95"/>
    <n v="4402.92"/>
    <n v="35806.410000000003"/>
    <x v="2"/>
    <x v="1"/>
    <n v="17.690000000000001"/>
    <n v="6334.15"/>
  </r>
  <r>
    <s v="ORD1073"/>
    <x v="64"/>
    <s v="Customer 72"/>
    <s v="CUST4969"/>
    <x v="2"/>
    <x v="2"/>
    <x v="1"/>
    <x v="0"/>
    <x v="0"/>
    <s v="Kids T-Shirt"/>
    <s v="PROD76265"/>
    <n v="10"/>
    <n v="5365"/>
    <n v="53650"/>
    <n v="3"/>
    <n v="1609.5"/>
    <n v="52040.5"/>
    <x v="1"/>
    <x v="2"/>
    <n v="15.89"/>
    <n v="8269.24"/>
  </r>
  <r>
    <s v="ORD1074"/>
    <x v="65"/>
    <s v="Customer 26"/>
    <s v="CUST4319"/>
    <x v="2"/>
    <x v="0"/>
    <x v="1"/>
    <x v="0"/>
    <x v="2"/>
    <s v="Saree"/>
    <s v="PROD57976"/>
    <n v="5"/>
    <n v="603.51"/>
    <n v="3017.55"/>
    <n v="3.44"/>
    <n v="103.8"/>
    <n v="2913.75"/>
    <x v="2"/>
    <x v="2"/>
    <n v="20.190000000000001"/>
    <n v="588.29"/>
  </r>
  <r>
    <s v="ORD1075"/>
    <x v="66"/>
    <s v="Customer 48"/>
    <s v="CUST4793"/>
    <x v="3"/>
    <x v="2"/>
    <x v="1"/>
    <x v="0"/>
    <x v="8"/>
    <s v="Jeans"/>
    <s v="PROD97911"/>
    <n v="5"/>
    <n v="794.78"/>
    <n v="3973.9"/>
    <n v="22.32"/>
    <n v="886.97"/>
    <n v="3086.93"/>
    <x v="1"/>
    <x v="0"/>
    <n v="16.63"/>
    <n v="513.36"/>
  </r>
  <r>
    <s v="ORD1076"/>
    <x v="58"/>
    <s v="Customer 1"/>
    <s v="CUST2150"/>
    <x v="3"/>
    <x v="4"/>
    <x v="1"/>
    <x v="1"/>
    <x v="1"/>
    <s v="Coffee Table"/>
    <s v="PROD21662"/>
    <n v="10"/>
    <n v="6139.06"/>
    <n v="61390.6"/>
    <n v="6.13"/>
    <n v="3763.24"/>
    <n v="57627.360000000001"/>
    <x v="4"/>
    <x v="2"/>
    <n v="11.71"/>
    <n v="6748.16"/>
  </r>
  <r>
    <s v="ORD1077"/>
    <x v="67"/>
    <s v="Customer 93"/>
    <s v="CUST4771"/>
    <x v="0"/>
    <x v="1"/>
    <x v="1"/>
    <x v="1"/>
    <x v="1"/>
    <s v="Dining Table"/>
    <s v="PROD77433"/>
    <n v="4"/>
    <n v="1276.98"/>
    <n v="5107.92"/>
    <n v="4.38"/>
    <n v="223.73"/>
    <n v="4884.1899999999996"/>
    <x v="1"/>
    <x v="2"/>
    <n v="8.84"/>
    <n v="431.76"/>
  </r>
  <r>
    <s v="ORD1078"/>
    <x v="68"/>
    <s v="Customer 77"/>
    <s v="CUST2370"/>
    <x v="0"/>
    <x v="2"/>
    <x v="1"/>
    <x v="0"/>
    <x v="8"/>
    <s v="T-Shirt"/>
    <s v="PROD52185"/>
    <n v="2"/>
    <n v="6949.88"/>
    <n v="13899.76"/>
    <n v="25.85"/>
    <n v="3593.09"/>
    <n v="10306.67"/>
    <x v="1"/>
    <x v="0"/>
    <n v="11.95"/>
    <n v="1231.6500000000001"/>
  </r>
  <r>
    <s v="ORD1079"/>
    <x v="65"/>
    <s v="Customer 29"/>
    <s v="CUST7282"/>
    <x v="2"/>
    <x v="9"/>
    <x v="1"/>
    <x v="2"/>
    <x v="6"/>
    <s v="Samsung QLED"/>
    <s v="PROD81514"/>
    <n v="3"/>
    <n v="5337.29"/>
    <n v="16011.87"/>
    <n v="6.27"/>
    <n v="1003.94"/>
    <n v="15007.93"/>
    <x v="1"/>
    <x v="1"/>
    <n v="19.68"/>
    <n v="2953.56"/>
  </r>
  <r>
    <s v="ORD1080"/>
    <x v="69"/>
    <s v="Customer 82"/>
    <s v="CUST5683"/>
    <x v="2"/>
    <x v="0"/>
    <x v="0"/>
    <x v="1"/>
    <x v="5"/>
    <s v="Gaming Chair"/>
    <s v="PROD27309"/>
    <n v="7"/>
    <n v="4161.22"/>
    <n v="29128.54"/>
    <n v="22.36"/>
    <n v="6513.14"/>
    <n v="22615.4"/>
    <x v="1"/>
    <x v="1"/>
    <n v="10.37"/>
    <n v="2345.2199999999998"/>
  </r>
  <r>
    <s v="ORD1081"/>
    <x v="70"/>
    <s v="Customer 47"/>
    <s v="CUST9108"/>
    <x v="3"/>
    <x v="1"/>
    <x v="1"/>
    <x v="0"/>
    <x v="2"/>
    <s v="Saree"/>
    <s v="PROD68476"/>
    <n v="8"/>
    <n v="9947.41"/>
    <n v="79579.28"/>
    <n v="9.76"/>
    <n v="7766.94"/>
    <n v="71812.34"/>
    <x v="1"/>
    <x v="2"/>
    <n v="17.16"/>
    <n v="12323"/>
  </r>
  <r>
    <s v="ORD1082"/>
    <x v="71"/>
    <s v="Customer 47"/>
    <s v="CUST4780"/>
    <x v="1"/>
    <x v="7"/>
    <x v="1"/>
    <x v="0"/>
    <x v="0"/>
    <s v="Kids Jacket"/>
    <s v="PROD19701"/>
    <n v="3"/>
    <n v="184.86"/>
    <n v="554.58000000000004"/>
    <n v="22.86"/>
    <n v="126.78"/>
    <n v="427.8"/>
    <x v="2"/>
    <x v="0"/>
    <n v="18.87"/>
    <n v="80.73"/>
  </r>
  <r>
    <s v="ORD1083"/>
    <x v="72"/>
    <s v="Customer 10"/>
    <s v="CUST9499"/>
    <x v="0"/>
    <x v="3"/>
    <x v="1"/>
    <x v="2"/>
    <x v="6"/>
    <s v="Samsung QLED"/>
    <s v="PROD96732"/>
    <n v="9"/>
    <n v="6104.43"/>
    <n v="54939.87"/>
    <n v="9.01"/>
    <n v="4950.08"/>
    <n v="49989.79"/>
    <x v="0"/>
    <x v="2"/>
    <n v="20.91"/>
    <n v="10452.870000000001"/>
  </r>
  <r>
    <s v="ORD1084"/>
    <x v="73"/>
    <s v="Customer 33"/>
    <s v="CUST7193"/>
    <x v="0"/>
    <x v="3"/>
    <x v="0"/>
    <x v="1"/>
    <x v="7"/>
    <s v="Two-Seater Sofa"/>
    <s v="PROD31347"/>
    <n v="1"/>
    <n v="2309.6"/>
    <n v="2309.6"/>
    <n v="2.99"/>
    <n v="69.06"/>
    <n v="2240.54"/>
    <x v="3"/>
    <x v="0"/>
    <n v="18.13"/>
    <n v="406.21"/>
  </r>
  <r>
    <s v="ORD1085"/>
    <x v="55"/>
    <s v="Customer 78"/>
    <s v="CUST5843"/>
    <x v="1"/>
    <x v="9"/>
    <x v="0"/>
    <x v="1"/>
    <x v="7"/>
    <s v="Recliner Sofa"/>
    <s v="PROD80921"/>
    <n v="5"/>
    <n v="8503"/>
    <n v="42515"/>
    <n v="6.16"/>
    <n v="2618.92"/>
    <n v="39896.080000000002"/>
    <x v="1"/>
    <x v="2"/>
    <n v="8.24"/>
    <n v="3287.44"/>
  </r>
  <r>
    <s v="ORD1086"/>
    <x v="74"/>
    <s v="Customer 5"/>
    <s v="CUST3341"/>
    <x v="3"/>
    <x v="7"/>
    <x v="1"/>
    <x v="2"/>
    <x v="4"/>
    <s v="Samsung Galaxy S21"/>
    <s v="PROD75086"/>
    <n v="6"/>
    <n v="5595.61"/>
    <n v="33573.660000000003"/>
    <n v="10.71"/>
    <n v="3595.74"/>
    <n v="29977.919999999998"/>
    <x v="4"/>
    <x v="1"/>
    <n v="16.73"/>
    <n v="5015.3100000000004"/>
  </r>
  <r>
    <s v="ORD1087"/>
    <x v="75"/>
    <s v="Customer 73"/>
    <s v="CUST1681"/>
    <x v="0"/>
    <x v="7"/>
    <x v="0"/>
    <x v="0"/>
    <x v="8"/>
    <s v="T-Shirt"/>
    <s v="PROD23562"/>
    <n v="4"/>
    <n v="1412.81"/>
    <n v="5651.24"/>
    <n v="24.07"/>
    <n v="1360.25"/>
    <n v="4290.99"/>
    <x v="3"/>
    <x v="1"/>
    <n v="8.5299999999999994"/>
    <n v="366.02"/>
  </r>
  <r>
    <s v="ORD1088"/>
    <x v="76"/>
    <s v="Customer 97"/>
    <s v="CUST7218"/>
    <x v="3"/>
    <x v="5"/>
    <x v="0"/>
    <x v="1"/>
    <x v="1"/>
    <s v="Coffee Table"/>
    <s v="PROD60399"/>
    <n v="4"/>
    <n v="4646.41"/>
    <n v="18585.64"/>
    <n v="29.86"/>
    <n v="5549.67"/>
    <n v="13035.97"/>
    <x v="2"/>
    <x v="1"/>
    <n v="5.69"/>
    <n v="741.75"/>
  </r>
  <r>
    <s v="ORD1089"/>
    <x v="77"/>
    <s v="Customer 37"/>
    <s v="CUST8064"/>
    <x v="0"/>
    <x v="6"/>
    <x v="1"/>
    <x v="0"/>
    <x v="0"/>
    <s v="Kids Jacket"/>
    <s v="PROD96804"/>
    <n v="3"/>
    <n v="9879.4500000000007"/>
    <n v="29638.35"/>
    <n v="28.75"/>
    <n v="8521.0300000000007"/>
    <n v="21117.32"/>
    <x v="4"/>
    <x v="2"/>
    <n v="5.39"/>
    <n v="1138.22"/>
  </r>
  <r>
    <s v="ORD1090"/>
    <x v="42"/>
    <s v="Customer 39"/>
    <s v="CUST8608"/>
    <x v="1"/>
    <x v="1"/>
    <x v="1"/>
    <x v="0"/>
    <x v="0"/>
    <s v="Kids Jacket"/>
    <s v="PROD13470"/>
    <n v="1"/>
    <n v="2217.35"/>
    <n v="2217.35"/>
    <n v="11.58"/>
    <n v="256.77"/>
    <n v="1960.58"/>
    <x v="0"/>
    <x v="2"/>
    <n v="14.94"/>
    <n v="292.91000000000003"/>
  </r>
  <r>
    <s v="ORD1091"/>
    <x v="49"/>
    <s v="Customer 72"/>
    <s v="CUST8479"/>
    <x v="0"/>
    <x v="5"/>
    <x v="1"/>
    <x v="2"/>
    <x v="3"/>
    <s v="MacBook Air"/>
    <s v="PROD62046"/>
    <n v="9"/>
    <n v="4457.66"/>
    <n v="40118.94"/>
    <n v="26"/>
    <n v="10430.92"/>
    <n v="29688.02"/>
    <x v="2"/>
    <x v="0"/>
    <n v="20.98"/>
    <n v="6228.55"/>
  </r>
  <r>
    <s v="ORD1092"/>
    <x v="78"/>
    <s v="Customer 57"/>
    <s v="CUST3867"/>
    <x v="3"/>
    <x v="6"/>
    <x v="1"/>
    <x v="0"/>
    <x v="8"/>
    <s v="Jeans"/>
    <s v="PROD35831"/>
    <n v="10"/>
    <n v="2633.5"/>
    <n v="26335"/>
    <n v="4.2699999999999996"/>
    <n v="1124.5"/>
    <n v="25210.5"/>
    <x v="3"/>
    <x v="0"/>
    <n v="12.98"/>
    <n v="3272.32"/>
  </r>
  <r>
    <s v="ORD1093"/>
    <x v="79"/>
    <s v="Customer 76"/>
    <s v="CUST7972"/>
    <x v="0"/>
    <x v="8"/>
    <x v="0"/>
    <x v="0"/>
    <x v="0"/>
    <s v="Kids Jacket"/>
    <s v="PROD53359"/>
    <n v="4"/>
    <n v="1745.31"/>
    <n v="6981.24"/>
    <n v="15.81"/>
    <n v="1103.73"/>
    <n v="5877.51"/>
    <x v="2"/>
    <x v="0"/>
    <n v="12.79"/>
    <n v="751.73"/>
  </r>
  <r>
    <s v="ORD1094"/>
    <x v="80"/>
    <s v="Customer 53"/>
    <s v="CUST7624"/>
    <x v="2"/>
    <x v="9"/>
    <x v="0"/>
    <x v="2"/>
    <x v="6"/>
    <s v="Samsung QLED"/>
    <s v="PROD47897"/>
    <n v="5"/>
    <n v="8921.0300000000007"/>
    <n v="44605.15"/>
    <n v="17.440000000000001"/>
    <n v="7779.14"/>
    <n v="36826.01"/>
    <x v="4"/>
    <x v="2"/>
    <n v="12.38"/>
    <n v="4559.0600000000004"/>
  </r>
  <r>
    <s v="ORD1095"/>
    <x v="81"/>
    <s v="Customer 16"/>
    <s v="CUST1241"/>
    <x v="1"/>
    <x v="9"/>
    <x v="1"/>
    <x v="1"/>
    <x v="1"/>
    <s v="Coffee Table"/>
    <s v="PROD72351"/>
    <n v="8"/>
    <n v="652.94000000000005"/>
    <n v="5223.5200000000004"/>
    <n v="13.98"/>
    <n v="730.25"/>
    <n v="4493.2700000000004"/>
    <x v="2"/>
    <x v="0"/>
    <n v="19.29"/>
    <n v="866.75"/>
  </r>
  <r>
    <s v="ORD1096"/>
    <x v="82"/>
    <s v="Customer 3"/>
    <s v="CUST2075"/>
    <x v="0"/>
    <x v="8"/>
    <x v="1"/>
    <x v="2"/>
    <x v="6"/>
    <s v="LG OLED"/>
    <s v="PROD42872"/>
    <n v="2"/>
    <n v="2767.37"/>
    <n v="5534.74"/>
    <n v="14.48"/>
    <n v="801.43"/>
    <n v="4733.3100000000004"/>
    <x v="2"/>
    <x v="2"/>
    <n v="22.83"/>
    <n v="1080.6099999999999"/>
  </r>
  <r>
    <s v="ORD1097"/>
    <x v="83"/>
    <s v="Customer 12"/>
    <s v="CUST3620"/>
    <x v="2"/>
    <x v="4"/>
    <x v="1"/>
    <x v="1"/>
    <x v="7"/>
    <s v="L-Shaped Sofa"/>
    <s v="PROD90779"/>
    <n v="7"/>
    <n v="4195.32"/>
    <n v="29367.24"/>
    <n v="9.58"/>
    <n v="2813.38"/>
    <n v="26553.86"/>
    <x v="3"/>
    <x v="1"/>
    <n v="18.11"/>
    <n v="4808.8999999999996"/>
  </r>
  <r>
    <s v="ORD1098"/>
    <x v="44"/>
    <s v="Customer 1"/>
    <s v="CUST6818"/>
    <x v="3"/>
    <x v="6"/>
    <x v="1"/>
    <x v="1"/>
    <x v="1"/>
    <s v="Coffee Table"/>
    <s v="PROD53475"/>
    <n v="3"/>
    <n v="8781.35"/>
    <n v="26344.05"/>
    <n v="26.68"/>
    <n v="7028.59"/>
    <n v="19315.46"/>
    <x v="4"/>
    <x v="0"/>
    <n v="13.95"/>
    <n v="2694.51"/>
  </r>
  <r>
    <s v="ORD1099"/>
    <x v="84"/>
    <s v="Customer 63"/>
    <s v="CUST9114"/>
    <x v="1"/>
    <x v="7"/>
    <x v="0"/>
    <x v="0"/>
    <x v="0"/>
    <s v="Kids T-Shirt"/>
    <s v="PROD86873"/>
    <n v="3"/>
    <n v="1121.71"/>
    <n v="3365.13"/>
    <n v="3.29"/>
    <n v="110.71"/>
    <n v="3254.42"/>
    <x v="4"/>
    <x v="1"/>
    <n v="14.17"/>
    <n v="461.15"/>
  </r>
  <r>
    <s v="ORD1100"/>
    <x v="85"/>
    <s v="Customer 97"/>
    <s v="CUST8524"/>
    <x v="3"/>
    <x v="2"/>
    <x v="0"/>
    <x v="0"/>
    <x v="2"/>
    <s v="Saree"/>
    <s v="PROD53515"/>
    <n v="1"/>
    <n v="9895.1299999999992"/>
    <n v="9895.1299999999992"/>
    <n v="13.89"/>
    <n v="1374.43"/>
    <n v="8520.7000000000007"/>
    <x v="4"/>
    <x v="2"/>
    <n v="5.42"/>
    <n v="461.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75DEDC-A24B-49C9-A719-62E02D131D7E}" name="total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3">
    <pivotField showAll="0"/>
    <pivotField numFmtId="14" showAll="0">
      <items count="87">
        <item x="34"/>
        <item x="7"/>
        <item x="79"/>
        <item x="46"/>
        <item x="29"/>
        <item x="5"/>
        <item x="52"/>
        <item x="25"/>
        <item x="10"/>
        <item x="75"/>
        <item x="56"/>
        <item x="53"/>
        <item x="0"/>
        <item x="30"/>
        <item x="68"/>
        <item x="67"/>
        <item x="49"/>
        <item x="62"/>
        <item x="8"/>
        <item x="15"/>
        <item x="82"/>
        <item x="60"/>
        <item x="66"/>
        <item x="45"/>
        <item x="39"/>
        <item x="31"/>
        <item x="76"/>
        <item x="47"/>
        <item x="26"/>
        <item x="6"/>
        <item x="81"/>
        <item x="19"/>
        <item x="32"/>
        <item x="40"/>
        <item x="57"/>
        <item x="85"/>
        <item x="21"/>
        <item x="22"/>
        <item x="41"/>
        <item x="2"/>
        <item x="84"/>
        <item x="54"/>
        <item x="83"/>
        <item x="73"/>
        <item x="14"/>
        <item x="20"/>
        <item x="23"/>
        <item x="11"/>
        <item x="1"/>
        <item x="3"/>
        <item x="69"/>
        <item x="28"/>
        <item x="70"/>
        <item x="24"/>
        <item x="37"/>
        <item x="48"/>
        <item x="58"/>
        <item x="27"/>
        <item x="65"/>
        <item x="33"/>
        <item x="50"/>
        <item x="78"/>
        <item x="55"/>
        <item x="12"/>
        <item x="18"/>
        <item x="74"/>
        <item x="42"/>
        <item x="9"/>
        <item x="44"/>
        <item x="16"/>
        <item x="38"/>
        <item x="17"/>
        <item x="61"/>
        <item x="13"/>
        <item x="43"/>
        <item x="59"/>
        <item x="80"/>
        <item x="72"/>
        <item x="77"/>
        <item x="35"/>
        <item x="51"/>
        <item x="64"/>
        <item x="71"/>
        <item x="4"/>
        <item x="63"/>
        <item x="36"/>
        <item t="default"/>
      </items>
    </pivotField>
    <pivotField showAll="0"/>
    <pivotField showAll="0"/>
    <pivotField showAll="0">
      <items count="5">
        <item x="0"/>
        <item x="3"/>
        <item x="2"/>
        <item x="1"/>
        <item t="default"/>
      </items>
    </pivotField>
    <pivotField showAll="0">
      <items count="11">
        <item x="3"/>
        <item x="4"/>
        <item x="8"/>
        <item x="2"/>
        <item x="7"/>
        <item x="1"/>
        <item x="5"/>
        <item x="0"/>
        <item x="9"/>
        <item x="6"/>
        <item t="default"/>
      </items>
    </pivotField>
    <pivotField showAll="0">
      <items count="3">
        <item x="1"/>
        <item x="0"/>
        <item t="default"/>
      </items>
    </pivotField>
    <pivotField showAll="0">
      <items count="4">
        <item x="0"/>
        <item x="2"/>
        <item x="1"/>
        <item t="default"/>
      </items>
    </pivotField>
    <pivotField showAll="0">
      <items count="10">
        <item x="5"/>
        <item x="0"/>
        <item x="3"/>
        <item x="8"/>
        <item x="4"/>
        <item x="7"/>
        <item x="1"/>
        <item x="6"/>
        <item x="2"/>
        <item t="default"/>
      </items>
    </pivotField>
    <pivotField showAll="0"/>
    <pivotField showAll="0"/>
    <pivotField showAll="0"/>
    <pivotField showAll="0"/>
    <pivotField dataField="1" showAll="0"/>
    <pivotField showAll="0"/>
    <pivotField showAll="0"/>
    <pivotField showAll="0"/>
    <pivotField showAll="0">
      <items count="6">
        <item x="1"/>
        <item x="2"/>
        <item x="3"/>
        <item x="0"/>
        <item x="4"/>
        <item t="default"/>
      </items>
    </pivotField>
    <pivotField showAll="0">
      <items count="4">
        <item x="2"/>
        <item x="0"/>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B1693F-50B8-437E-9375-99753EC9AAFC}" name="region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G3:I8" firstHeaderRow="0" firstDataRow="1" firstDataCol="1"/>
  <pivotFields count="23">
    <pivotField showAll="0"/>
    <pivotField numFmtId="14" showAll="0">
      <items count="87">
        <item x="34"/>
        <item x="7"/>
        <item x="79"/>
        <item x="46"/>
        <item x="29"/>
        <item x="5"/>
        <item x="52"/>
        <item x="25"/>
        <item x="10"/>
        <item x="75"/>
        <item x="56"/>
        <item x="53"/>
        <item x="0"/>
        <item x="30"/>
        <item x="68"/>
        <item x="67"/>
        <item x="49"/>
        <item x="62"/>
        <item x="8"/>
        <item x="15"/>
        <item x="82"/>
        <item x="60"/>
        <item x="66"/>
        <item x="45"/>
        <item x="39"/>
        <item x="31"/>
        <item x="76"/>
        <item x="47"/>
        <item x="26"/>
        <item x="6"/>
        <item x="81"/>
        <item x="19"/>
        <item x="32"/>
        <item x="40"/>
        <item x="57"/>
        <item x="85"/>
        <item x="21"/>
        <item x="22"/>
        <item x="41"/>
        <item x="2"/>
        <item x="84"/>
        <item x="54"/>
        <item x="83"/>
        <item x="73"/>
        <item x="14"/>
        <item x="20"/>
        <item x="23"/>
        <item x="11"/>
        <item x="1"/>
        <item x="3"/>
        <item x="69"/>
        <item x="28"/>
        <item x="70"/>
        <item x="24"/>
        <item x="37"/>
        <item x="48"/>
        <item x="58"/>
        <item x="27"/>
        <item x="65"/>
        <item x="33"/>
        <item x="50"/>
        <item x="78"/>
        <item x="55"/>
        <item x="12"/>
        <item x="18"/>
        <item x="74"/>
        <item x="42"/>
        <item x="9"/>
        <item x="44"/>
        <item x="16"/>
        <item x="38"/>
        <item x="17"/>
        <item x="61"/>
        <item x="13"/>
        <item x="43"/>
        <item x="59"/>
        <item x="80"/>
        <item x="72"/>
        <item x="77"/>
        <item x="35"/>
        <item x="51"/>
        <item x="64"/>
        <item x="71"/>
        <item x="4"/>
        <item x="63"/>
        <item x="36"/>
        <item t="default"/>
      </items>
    </pivotField>
    <pivotField showAll="0"/>
    <pivotField showAll="0"/>
    <pivotField axis="axisRow" showAll="0">
      <items count="5">
        <item x="0"/>
        <item x="3"/>
        <item x="2"/>
        <item x="1"/>
        <item t="default"/>
      </items>
    </pivotField>
    <pivotField showAll="0">
      <items count="11">
        <item x="3"/>
        <item x="4"/>
        <item x="8"/>
        <item x="2"/>
        <item x="7"/>
        <item x="1"/>
        <item x="5"/>
        <item x="0"/>
        <item x="9"/>
        <item x="6"/>
        <item t="default"/>
      </items>
    </pivotField>
    <pivotField showAll="0">
      <items count="3">
        <item x="1"/>
        <item x="0"/>
        <item t="default"/>
      </items>
    </pivotField>
    <pivotField showAll="0">
      <items count="4">
        <item x="0"/>
        <item x="2"/>
        <item x="1"/>
        <item t="default"/>
      </items>
    </pivotField>
    <pivotField showAll="0">
      <items count="10">
        <item x="5"/>
        <item x="0"/>
        <item x="3"/>
        <item x="8"/>
        <item x="4"/>
        <item x="7"/>
        <item x="1"/>
        <item x="6"/>
        <item x="2"/>
        <item t="default"/>
      </items>
    </pivotField>
    <pivotField showAll="0"/>
    <pivotField showAll="0"/>
    <pivotField showAll="0"/>
    <pivotField showAll="0"/>
    <pivotField showAll="0"/>
    <pivotField showAll="0"/>
    <pivotField showAll="0"/>
    <pivotField dataField="1" showAll="0"/>
    <pivotField showAll="0">
      <items count="6">
        <item x="1"/>
        <item x="2"/>
        <item x="3"/>
        <item x="0"/>
        <item x="4"/>
        <item t="default"/>
      </items>
    </pivotField>
    <pivotField showAll="0">
      <items count="4">
        <item x="2"/>
        <item x="0"/>
        <item x="1"/>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7">
    <format dxfId="6">
      <pivotArea type="all" dataOnly="0" outline="0" fieldPosition="0"/>
    </format>
    <format dxfId="5">
      <pivotArea outline="0" collapsedLevelsAreSubtotals="1" fieldPosition="0"/>
    </format>
    <format dxfId="4">
      <pivotArea field="4" type="button" dataOnly="0" labelOnly="1" outline="0" axis="axisRow" fieldPosition="0"/>
    </format>
    <format dxfId="3">
      <pivotArea dataOnly="0" labelOnly="1" fieldPosition="0">
        <references count="1">
          <reference field="4" count="0"/>
        </references>
      </pivotArea>
    </format>
    <format dxfId="2">
      <pivotArea dataOnly="0" labelOnly="1" grandRow="1" outline="0" fieldPosition="0"/>
    </format>
    <format dxfId="1">
      <pivotArea dataOnly="0" labelOnly="1" outline="0" fieldPosition="0">
        <references count="1">
          <reference field="4294967294" count="2">
            <x v="0"/>
            <x v="1"/>
          </reference>
        </references>
      </pivotArea>
    </format>
    <format dxfId="0">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56A9DD-7139-42F3-A099-EB61C40D13DE}" name="paymentmod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W3:X9" firstHeaderRow="1" firstDataRow="1" firstDataCol="1"/>
  <pivotFields count="23">
    <pivotField showAll="0"/>
    <pivotField numFmtId="14" showAll="0">
      <items count="87">
        <item x="34"/>
        <item x="7"/>
        <item x="79"/>
        <item x="46"/>
        <item x="29"/>
        <item x="5"/>
        <item x="52"/>
        <item x="25"/>
        <item x="10"/>
        <item x="75"/>
        <item x="56"/>
        <item x="53"/>
        <item x="0"/>
        <item x="30"/>
        <item x="68"/>
        <item x="67"/>
        <item x="49"/>
        <item x="62"/>
        <item x="8"/>
        <item x="15"/>
        <item x="82"/>
        <item x="60"/>
        <item x="66"/>
        <item x="45"/>
        <item x="39"/>
        <item x="31"/>
        <item x="76"/>
        <item x="47"/>
        <item x="26"/>
        <item x="6"/>
        <item x="81"/>
        <item x="19"/>
        <item x="32"/>
        <item x="40"/>
        <item x="57"/>
        <item x="85"/>
        <item x="21"/>
        <item x="22"/>
        <item x="41"/>
        <item x="2"/>
        <item x="84"/>
        <item x="54"/>
        <item x="83"/>
        <item x="73"/>
        <item x="14"/>
        <item x="20"/>
        <item x="23"/>
        <item x="11"/>
        <item x="1"/>
        <item x="3"/>
        <item x="69"/>
        <item x="28"/>
        <item x="70"/>
        <item x="24"/>
        <item x="37"/>
        <item x="48"/>
        <item x="58"/>
        <item x="27"/>
        <item x="65"/>
        <item x="33"/>
        <item x="50"/>
        <item x="78"/>
        <item x="55"/>
        <item x="12"/>
        <item x="18"/>
        <item x="74"/>
        <item x="42"/>
        <item x="9"/>
        <item x="44"/>
        <item x="16"/>
        <item x="38"/>
        <item x="17"/>
        <item x="61"/>
        <item x="13"/>
        <item x="43"/>
        <item x="59"/>
        <item x="80"/>
        <item x="72"/>
        <item x="77"/>
        <item x="35"/>
        <item x="51"/>
        <item x="64"/>
        <item x="71"/>
        <item x="4"/>
        <item x="63"/>
        <item x="36"/>
        <item t="default"/>
      </items>
    </pivotField>
    <pivotField showAll="0"/>
    <pivotField showAll="0"/>
    <pivotField showAll="0">
      <items count="5">
        <item x="0"/>
        <item x="3"/>
        <item x="2"/>
        <item x="1"/>
        <item t="default"/>
      </items>
    </pivotField>
    <pivotField showAll="0">
      <items count="11">
        <item x="3"/>
        <item x="4"/>
        <item x="8"/>
        <item x="2"/>
        <item x="7"/>
        <item x="1"/>
        <item x="5"/>
        <item x="0"/>
        <item x="9"/>
        <item x="6"/>
        <item t="default"/>
      </items>
    </pivotField>
    <pivotField showAll="0">
      <items count="3">
        <item x="1"/>
        <item x="0"/>
        <item t="default"/>
      </items>
    </pivotField>
    <pivotField showAll="0">
      <items count="4">
        <item x="0"/>
        <item x="2"/>
        <item x="1"/>
        <item t="default"/>
      </items>
    </pivotField>
    <pivotField showAll="0">
      <items count="10">
        <item x="5"/>
        <item x="0"/>
        <item x="3"/>
        <item x="8"/>
        <item x="4"/>
        <item x="7"/>
        <item x="1"/>
        <item x="6"/>
        <item x="2"/>
        <item t="default"/>
      </items>
    </pivotField>
    <pivotField showAll="0"/>
    <pivotField showAll="0"/>
    <pivotField showAll="0"/>
    <pivotField showAll="0"/>
    <pivotField showAll="0"/>
    <pivotField showAll="0"/>
    <pivotField showAll="0"/>
    <pivotField dataField="1" showAll="0"/>
    <pivotField axis="axisRow" showAll="0">
      <items count="6">
        <item x="1"/>
        <item x="2"/>
        <item x="3"/>
        <item x="0"/>
        <item x="4"/>
        <item t="default"/>
      </items>
    </pivotField>
    <pivotField showAll="0">
      <items count="4">
        <item x="2"/>
        <item x="0"/>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6">
    <i>
      <x/>
    </i>
    <i>
      <x v="1"/>
    </i>
    <i>
      <x v="2"/>
    </i>
    <i>
      <x v="3"/>
    </i>
    <i>
      <x v="4"/>
    </i>
    <i t="grand">
      <x/>
    </i>
  </rowItems>
  <colItems count="1">
    <i/>
  </colItems>
  <dataFields count="1">
    <dataField name="Average of Net Sales" fld="16" subtotal="average" baseField="17" baseItem="0"/>
  </dataFields>
  <chartFormats count="1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 chart="0" format="5">
      <pivotArea type="data" outline="0" fieldPosition="0">
        <references count="2">
          <reference field="4294967294" count="1" selected="0">
            <x v="0"/>
          </reference>
          <reference field="17" count="1" selected="0">
            <x v="4"/>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7" count="1" selected="0">
            <x v="0"/>
          </reference>
        </references>
      </pivotArea>
    </chartFormat>
    <chartFormat chart="6" format="8">
      <pivotArea type="data" outline="0" fieldPosition="0">
        <references count="2">
          <reference field="4294967294" count="1" selected="0">
            <x v="0"/>
          </reference>
          <reference field="17" count="1" selected="0">
            <x v="1"/>
          </reference>
        </references>
      </pivotArea>
    </chartFormat>
    <chartFormat chart="6" format="9">
      <pivotArea type="data" outline="0" fieldPosition="0">
        <references count="2">
          <reference field="4294967294" count="1" selected="0">
            <x v="0"/>
          </reference>
          <reference field="17" count="1" selected="0">
            <x v="2"/>
          </reference>
        </references>
      </pivotArea>
    </chartFormat>
    <chartFormat chart="6" format="10">
      <pivotArea type="data" outline="0" fieldPosition="0">
        <references count="2">
          <reference field="4294967294" count="1" selected="0">
            <x v="0"/>
          </reference>
          <reference field="17" count="1" selected="0">
            <x v="3"/>
          </reference>
        </references>
      </pivotArea>
    </chartFormat>
    <chartFormat chart="6" format="11">
      <pivotArea type="data" outline="0" fieldPosition="0">
        <references count="2">
          <reference field="4294967294" count="1" selected="0">
            <x v="0"/>
          </reference>
          <reference field="17"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7" count="1" selected="0">
            <x v="0"/>
          </reference>
        </references>
      </pivotArea>
    </chartFormat>
    <chartFormat chart="7" format="14">
      <pivotArea type="data" outline="0" fieldPosition="0">
        <references count="2">
          <reference field="4294967294" count="1" selected="0">
            <x v="0"/>
          </reference>
          <reference field="17" count="1" selected="0">
            <x v="1"/>
          </reference>
        </references>
      </pivotArea>
    </chartFormat>
    <chartFormat chart="7" format="15">
      <pivotArea type="data" outline="0" fieldPosition="0">
        <references count="2">
          <reference field="4294967294" count="1" selected="0">
            <x v="0"/>
          </reference>
          <reference field="17" count="1" selected="0">
            <x v="2"/>
          </reference>
        </references>
      </pivotArea>
    </chartFormat>
    <chartFormat chart="7" format="16">
      <pivotArea type="data" outline="0" fieldPosition="0">
        <references count="2">
          <reference field="4294967294" count="1" selected="0">
            <x v="0"/>
          </reference>
          <reference field="17" count="1" selected="0">
            <x v="3"/>
          </reference>
        </references>
      </pivotArea>
    </chartFormat>
    <chartFormat chart="7" format="17">
      <pivotArea type="data" outline="0" fieldPosition="0">
        <references count="2">
          <reference field="4294967294" count="1" selected="0">
            <x v="0"/>
          </reference>
          <reference field="17" count="1" selected="0">
            <x v="4"/>
          </reference>
        </references>
      </pivotArea>
    </chartFormat>
    <chartFormat chart="0" format="6">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925103-AC87-41B8-AF0E-6282F17D702A}" name="totalprofi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2:E13" firstHeaderRow="1" firstDataRow="1" firstDataCol="0"/>
  <pivotFields count="23">
    <pivotField showAll="0"/>
    <pivotField numFmtId="14" showAll="0">
      <items count="87">
        <item x="34"/>
        <item x="7"/>
        <item x="79"/>
        <item x="46"/>
        <item x="29"/>
        <item x="5"/>
        <item x="52"/>
        <item x="25"/>
        <item x="10"/>
        <item x="75"/>
        <item x="56"/>
        <item x="53"/>
        <item x="0"/>
        <item x="30"/>
        <item x="68"/>
        <item x="67"/>
        <item x="49"/>
        <item x="62"/>
        <item x="8"/>
        <item x="15"/>
        <item x="82"/>
        <item x="60"/>
        <item x="66"/>
        <item x="45"/>
        <item x="39"/>
        <item x="31"/>
        <item x="76"/>
        <item x="47"/>
        <item x="26"/>
        <item x="6"/>
        <item x="81"/>
        <item x="19"/>
        <item x="32"/>
        <item x="40"/>
        <item x="57"/>
        <item x="85"/>
        <item x="21"/>
        <item x="22"/>
        <item x="41"/>
        <item x="2"/>
        <item x="84"/>
        <item x="54"/>
        <item x="83"/>
        <item x="73"/>
        <item x="14"/>
        <item x="20"/>
        <item x="23"/>
        <item x="11"/>
        <item x="1"/>
        <item x="3"/>
        <item x="69"/>
        <item x="28"/>
        <item x="70"/>
        <item x="24"/>
        <item x="37"/>
        <item x="48"/>
        <item x="58"/>
        <item x="27"/>
        <item x="65"/>
        <item x="33"/>
        <item x="50"/>
        <item x="78"/>
        <item x="55"/>
        <item x="12"/>
        <item x="18"/>
        <item x="74"/>
        <item x="42"/>
        <item x="9"/>
        <item x="44"/>
        <item x="16"/>
        <item x="38"/>
        <item x="17"/>
        <item x="61"/>
        <item x="13"/>
        <item x="43"/>
        <item x="59"/>
        <item x="80"/>
        <item x="72"/>
        <item x="77"/>
        <item x="35"/>
        <item x="51"/>
        <item x="64"/>
        <item x="71"/>
        <item x="4"/>
        <item x="63"/>
        <item x="36"/>
        <item t="default"/>
      </items>
    </pivotField>
    <pivotField showAll="0"/>
    <pivotField showAll="0"/>
    <pivotField showAll="0">
      <items count="5">
        <item x="0"/>
        <item x="3"/>
        <item x="2"/>
        <item x="1"/>
        <item t="default"/>
      </items>
    </pivotField>
    <pivotField showAll="0">
      <items count="11">
        <item x="3"/>
        <item x="4"/>
        <item x="8"/>
        <item x="2"/>
        <item x="7"/>
        <item x="1"/>
        <item x="5"/>
        <item x="0"/>
        <item x="9"/>
        <item x="6"/>
        <item t="default"/>
      </items>
    </pivotField>
    <pivotField showAll="0">
      <items count="3">
        <item x="1"/>
        <item x="0"/>
        <item t="default"/>
      </items>
    </pivotField>
    <pivotField showAll="0">
      <items count="4">
        <item x="0"/>
        <item x="2"/>
        <item x="1"/>
        <item t="default"/>
      </items>
    </pivotField>
    <pivotField showAll="0">
      <items count="10">
        <item x="5"/>
        <item x="0"/>
        <item x="3"/>
        <item x="8"/>
        <item x="4"/>
        <item x="7"/>
        <item x="1"/>
        <item x="6"/>
        <item x="2"/>
        <item t="default"/>
      </items>
    </pivotField>
    <pivotField showAll="0"/>
    <pivotField showAll="0"/>
    <pivotField showAll="0"/>
    <pivotField showAll="0"/>
    <pivotField showAll="0"/>
    <pivotField showAll="0"/>
    <pivotField showAll="0"/>
    <pivotField showAll="0"/>
    <pivotField showAll="0">
      <items count="6">
        <item x="1"/>
        <item x="2"/>
        <item x="3"/>
        <item x="0"/>
        <item x="4"/>
        <item t="default"/>
      </items>
    </pivotField>
    <pivotField showAll="0">
      <items count="4">
        <item x="2"/>
        <item x="0"/>
        <item x="1"/>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Amoun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393C50-F9BE-477B-9775-2FE0D095C152}" name="city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K3:M14" firstHeaderRow="0" firstDataRow="1" firstDataCol="1"/>
  <pivotFields count="23">
    <pivotField showAll="0"/>
    <pivotField numFmtId="14" showAll="0">
      <items count="87">
        <item x="34"/>
        <item x="7"/>
        <item x="79"/>
        <item x="46"/>
        <item x="29"/>
        <item x="5"/>
        <item x="52"/>
        <item x="25"/>
        <item x="10"/>
        <item x="75"/>
        <item x="56"/>
        <item x="53"/>
        <item x="0"/>
        <item x="30"/>
        <item x="68"/>
        <item x="67"/>
        <item x="49"/>
        <item x="62"/>
        <item x="8"/>
        <item x="15"/>
        <item x="82"/>
        <item x="60"/>
        <item x="66"/>
        <item x="45"/>
        <item x="39"/>
        <item x="31"/>
        <item x="76"/>
        <item x="47"/>
        <item x="26"/>
        <item x="6"/>
        <item x="81"/>
        <item x="19"/>
        <item x="32"/>
        <item x="40"/>
        <item x="57"/>
        <item x="85"/>
        <item x="21"/>
        <item x="22"/>
        <item x="41"/>
        <item x="2"/>
        <item x="84"/>
        <item x="54"/>
        <item x="83"/>
        <item x="73"/>
        <item x="14"/>
        <item x="20"/>
        <item x="23"/>
        <item x="11"/>
        <item x="1"/>
        <item x="3"/>
        <item x="69"/>
        <item x="28"/>
        <item x="70"/>
        <item x="24"/>
        <item x="37"/>
        <item x="48"/>
        <item x="58"/>
        <item x="27"/>
        <item x="65"/>
        <item x="33"/>
        <item x="50"/>
        <item x="78"/>
        <item x="55"/>
        <item x="12"/>
        <item x="18"/>
        <item x="74"/>
        <item x="42"/>
        <item x="9"/>
        <item x="44"/>
        <item x="16"/>
        <item x="38"/>
        <item x="17"/>
        <item x="61"/>
        <item x="13"/>
        <item x="43"/>
        <item x="59"/>
        <item x="80"/>
        <item x="72"/>
        <item x="77"/>
        <item x="35"/>
        <item x="51"/>
        <item x="64"/>
        <item x="71"/>
        <item x="4"/>
        <item x="63"/>
        <item x="36"/>
        <item t="default"/>
      </items>
    </pivotField>
    <pivotField showAll="0"/>
    <pivotField showAll="0"/>
    <pivotField showAll="0">
      <items count="5">
        <item x="0"/>
        <item x="3"/>
        <item x="2"/>
        <item x="1"/>
        <item t="default"/>
      </items>
    </pivotField>
    <pivotField axis="axisRow" showAll="0">
      <items count="11">
        <item x="3"/>
        <item x="4"/>
        <item x="8"/>
        <item x="2"/>
        <item x="7"/>
        <item x="1"/>
        <item x="5"/>
        <item x="0"/>
        <item x="9"/>
        <item x="6"/>
        <item t="default"/>
      </items>
    </pivotField>
    <pivotField showAll="0">
      <items count="3">
        <item x="1"/>
        <item x="0"/>
        <item t="default"/>
      </items>
    </pivotField>
    <pivotField showAll="0">
      <items count="4">
        <item x="0"/>
        <item x="2"/>
        <item x="1"/>
        <item t="default"/>
      </items>
    </pivotField>
    <pivotField showAll="0">
      <items count="10">
        <item x="5"/>
        <item x="0"/>
        <item x="3"/>
        <item x="8"/>
        <item x="4"/>
        <item x="7"/>
        <item x="1"/>
        <item x="6"/>
        <item x="2"/>
        <item t="default"/>
      </items>
    </pivotField>
    <pivotField showAll="0"/>
    <pivotField showAll="0"/>
    <pivotField showAll="0"/>
    <pivotField showAll="0"/>
    <pivotField showAll="0"/>
    <pivotField showAll="0"/>
    <pivotField showAll="0"/>
    <pivotField dataField="1" showAll="0"/>
    <pivotField showAll="0">
      <items count="6">
        <item x="1"/>
        <item x="2"/>
        <item x="3"/>
        <item x="0"/>
        <item x="4"/>
        <item t="default"/>
      </items>
    </pivotField>
    <pivotField showAll="0">
      <items count="4">
        <item x="2"/>
        <item x="0"/>
        <item x="1"/>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1">
    <i>
      <x/>
    </i>
    <i>
      <x v="1"/>
    </i>
    <i>
      <x v="2"/>
    </i>
    <i>
      <x v="3"/>
    </i>
    <i>
      <x v="4"/>
    </i>
    <i>
      <x v="5"/>
    </i>
    <i>
      <x v="6"/>
    </i>
    <i>
      <x v="7"/>
    </i>
    <i>
      <x v="8"/>
    </i>
    <i>
      <x v="9"/>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4BD9A7-7034-45DD-8F4C-7E95AB485CAC}" name="category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S3:U7" firstHeaderRow="0" firstDataRow="1" firstDataCol="1"/>
  <pivotFields count="23">
    <pivotField showAll="0"/>
    <pivotField numFmtId="14" showAll="0">
      <items count="87">
        <item x="34"/>
        <item x="7"/>
        <item x="79"/>
        <item x="46"/>
        <item x="29"/>
        <item x="5"/>
        <item x="52"/>
        <item x="25"/>
        <item x="10"/>
        <item x="75"/>
        <item x="56"/>
        <item x="53"/>
        <item x="0"/>
        <item x="30"/>
        <item x="68"/>
        <item x="67"/>
        <item x="49"/>
        <item x="62"/>
        <item x="8"/>
        <item x="15"/>
        <item x="82"/>
        <item x="60"/>
        <item x="66"/>
        <item x="45"/>
        <item x="39"/>
        <item x="31"/>
        <item x="76"/>
        <item x="47"/>
        <item x="26"/>
        <item x="6"/>
        <item x="81"/>
        <item x="19"/>
        <item x="32"/>
        <item x="40"/>
        <item x="57"/>
        <item x="85"/>
        <item x="21"/>
        <item x="22"/>
        <item x="41"/>
        <item x="2"/>
        <item x="84"/>
        <item x="54"/>
        <item x="83"/>
        <item x="73"/>
        <item x="14"/>
        <item x="20"/>
        <item x="23"/>
        <item x="11"/>
        <item x="1"/>
        <item x="3"/>
        <item x="69"/>
        <item x="28"/>
        <item x="70"/>
        <item x="24"/>
        <item x="37"/>
        <item x="48"/>
        <item x="58"/>
        <item x="27"/>
        <item x="65"/>
        <item x="33"/>
        <item x="50"/>
        <item x="78"/>
        <item x="55"/>
        <item x="12"/>
        <item x="18"/>
        <item x="74"/>
        <item x="42"/>
        <item x="9"/>
        <item x="44"/>
        <item x="16"/>
        <item x="38"/>
        <item x="17"/>
        <item x="61"/>
        <item x="13"/>
        <item x="43"/>
        <item x="59"/>
        <item x="80"/>
        <item x="72"/>
        <item x="77"/>
        <item x="35"/>
        <item x="51"/>
        <item x="64"/>
        <item x="71"/>
        <item x="4"/>
        <item x="63"/>
        <item x="36"/>
        <item t="default"/>
      </items>
    </pivotField>
    <pivotField showAll="0"/>
    <pivotField showAll="0"/>
    <pivotField showAll="0">
      <items count="5">
        <item x="0"/>
        <item x="3"/>
        <item x="2"/>
        <item x="1"/>
        <item t="default"/>
      </items>
    </pivotField>
    <pivotField showAll="0">
      <items count="11">
        <item x="3"/>
        <item x="4"/>
        <item x="8"/>
        <item x="2"/>
        <item x="7"/>
        <item x="1"/>
        <item x="5"/>
        <item x="0"/>
        <item x="9"/>
        <item x="6"/>
        <item t="default"/>
      </items>
    </pivotField>
    <pivotField showAll="0">
      <items count="3">
        <item x="1"/>
        <item x="0"/>
        <item t="default"/>
      </items>
    </pivotField>
    <pivotField axis="axisRow" showAll="0">
      <items count="4">
        <item x="0"/>
        <item x="2"/>
        <item x="1"/>
        <item t="default"/>
      </items>
    </pivotField>
    <pivotField showAll="0">
      <items count="10">
        <item x="5"/>
        <item x="0"/>
        <item x="3"/>
        <item x="8"/>
        <item x="4"/>
        <item x="7"/>
        <item x="1"/>
        <item x="6"/>
        <item x="2"/>
        <item t="default"/>
      </items>
    </pivotField>
    <pivotField showAll="0"/>
    <pivotField showAll="0"/>
    <pivotField showAll="0"/>
    <pivotField showAll="0"/>
    <pivotField showAll="0"/>
    <pivotField showAll="0"/>
    <pivotField showAll="0"/>
    <pivotField dataField="1" showAll="0"/>
    <pivotField showAll="0">
      <items count="6">
        <item x="1"/>
        <item x="2"/>
        <item x="3"/>
        <item x="0"/>
        <item x="4"/>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Fields count="1">
    <field x="-2"/>
  </colFields>
  <colItems count="2">
    <i>
      <x/>
    </i>
    <i i="1">
      <x v="1"/>
    </i>
  </colItems>
  <dataFields count="2">
    <dataField name="Sum of Net Sales" fld="16" baseField="0" baseItem="0"/>
    <dataField name="Average of Profit Margin %" fld="19"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772F19-30F9-4D9B-900B-11CF3D7178E0}" name="subproduc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F3:AH13" firstHeaderRow="0" firstDataRow="1" firstDataCol="1"/>
  <pivotFields count="23">
    <pivotField showAll="0"/>
    <pivotField numFmtId="14" showAll="0">
      <items count="87">
        <item x="34"/>
        <item x="7"/>
        <item x="79"/>
        <item x="46"/>
        <item x="29"/>
        <item x="5"/>
        <item x="52"/>
        <item x="25"/>
        <item x="10"/>
        <item x="75"/>
        <item x="56"/>
        <item x="53"/>
        <item x="0"/>
        <item x="30"/>
        <item x="68"/>
        <item x="67"/>
        <item x="49"/>
        <item x="62"/>
        <item x="8"/>
        <item x="15"/>
        <item x="82"/>
        <item x="60"/>
        <item x="66"/>
        <item x="45"/>
        <item x="39"/>
        <item x="31"/>
        <item x="76"/>
        <item x="47"/>
        <item x="26"/>
        <item x="6"/>
        <item x="81"/>
        <item x="19"/>
        <item x="32"/>
        <item x="40"/>
        <item x="57"/>
        <item x="85"/>
        <item x="21"/>
        <item x="22"/>
        <item x="41"/>
        <item x="2"/>
        <item x="84"/>
        <item x="54"/>
        <item x="83"/>
        <item x="73"/>
        <item x="14"/>
        <item x="20"/>
        <item x="23"/>
        <item x="11"/>
        <item x="1"/>
        <item x="3"/>
        <item x="69"/>
        <item x="28"/>
        <item x="70"/>
        <item x="24"/>
        <item x="37"/>
        <item x="48"/>
        <item x="58"/>
        <item x="27"/>
        <item x="65"/>
        <item x="33"/>
        <item x="50"/>
        <item x="78"/>
        <item x="55"/>
        <item x="12"/>
        <item x="18"/>
        <item x="74"/>
        <item x="42"/>
        <item x="9"/>
        <item x="44"/>
        <item x="16"/>
        <item x="38"/>
        <item x="17"/>
        <item x="61"/>
        <item x="13"/>
        <item x="43"/>
        <item x="59"/>
        <item x="80"/>
        <item x="72"/>
        <item x="77"/>
        <item x="35"/>
        <item x="51"/>
        <item x="64"/>
        <item x="71"/>
        <item x="4"/>
        <item x="63"/>
        <item x="36"/>
        <item t="default"/>
      </items>
    </pivotField>
    <pivotField showAll="0"/>
    <pivotField showAll="0"/>
    <pivotField showAll="0">
      <items count="5">
        <item x="0"/>
        <item x="3"/>
        <item x="2"/>
        <item x="1"/>
        <item t="default"/>
      </items>
    </pivotField>
    <pivotField showAll="0">
      <items count="11">
        <item x="3"/>
        <item x="4"/>
        <item x="8"/>
        <item x="2"/>
        <item x="7"/>
        <item x="1"/>
        <item x="5"/>
        <item x="0"/>
        <item x="9"/>
        <item x="6"/>
        <item t="default"/>
      </items>
    </pivotField>
    <pivotField showAll="0">
      <items count="3">
        <item x="1"/>
        <item x="0"/>
        <item t="default"/>
      </items>
    </pivotField>
    <pivotField showAll="0">
      <items count="4">
        <item x="0"/>
        <item x="2"/>
        <item x="1"/>
        <item t="default"/>
      </items>
    </pivotField>
    <pivotField axis="axisRow" showAll="0">
      <items count="10">
        <item x="5"/>
        <item x="0"/>
        <item x="3"/>
        <item x="8"/>
        <item x="4"/>
        <item x="7"/>
        <item x="1"/>
        <item x="6"/>
        <item x="2"/>
        <item t="default"/>
      </items>
    </pivotField>
    <pivotField showAll="0"/>
    <pivotField showAll="0"/>
    <pivotField dataField="1" showAll="0"/>
    <pivotField showAll="0"/>
    <pivotField showAll="0"/>
    <pivotField showAll="0"/>
    <pivotField showAll="0"/>
    <pivotField dataField="1" showAll="0"/>
    <pivotField showAll="0">
      <items count="6">
        <item x="1"/>
        <item x="2"/>
        <item x="3"/>
        <item x="0"/>
        <item x="4"/>
        <item t="default"/>
      </items>
    </pivotField>
    <pivotField showAll="0">
      <items count="4">
        <item x="2"/>
        <item x="0"/>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10">
    <i>
      <x/>
    </i>
    <i>
      <x v="1"/>
    </i>
    <i>
      <x v="2"/>
    </i>
    <i>
      <x v="3"/>
    </i>
    <i>
      <x v="4"/>
    </i>
    <i>
      <x v="5"/>
    </i>
    <i>
      <x v="6"/>
    </i>
    <i>
      <x v="7"/>
    </i>
    <i>
      <x v="8"/>
    </i>
    <i t="grand">
      <x/>
    </i>
  </rowItems>
  <colFields count="1">
    <field x="-2"/>
  </colFields>
  <colItems count="2">
    <i>
      <x/>
    </i>
    <i i="1">
      <x v="1"/>
    </i>
  </colItems>
  <dataFields count="2">
    <dataField name="Sum of Net Sales" fld="16" baseField="0" baseItem="0"/>
    <dataField name="Sum of Quantity Sold" fld="11"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F54CEE-8EFB-433B-AAC3-24808FFC65AD}" name="deliverystatu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Z3:AA7" firstHeaderRow="1" firstDataRow="1" firstDataCol="1"/>
  <pivotFields count="23">
    <pivotField showAll="0"/>
    <pivotField numFmtId="14" showAll="0">
      <items count="87">
        <item x="34"/>
        <item x="7"/>
        <item x="79"/>
        <item x="46"/>
        <item x="29"/>
        <item x="5"/>
        <item x="52"/>
        <item x="25"/>
        <item x="10"/>
        <item x="75"/>
        <item x="56"/>
        <item x="53"/>
        <item x="0"/>
        <item x="30"/>
        <item x="68"/>
        <item x="67"/>
        <item x="49"/>
        <item x="62"/>
        <item x="8"/>
        <item x="15"/>
        <item x="82"/>
        <item x="60"/>
        <item x="66"/>
        <item x="45"/>
        <item x="39"/>
        <item x="31"/>
        <item x="76"/>
        <item x="47"/>
        <item x="26"/>
        <item x="6"/>
        <item x="81"/>
        <item x="19"/>
        <item x="32"/>
        <item x="40"/>
        <item x="57"/>
        <item x="85"/>
        <item x="21"/>
        <item x="22"/>
        <item x="41"/>
        <item x="2"/>
        <item x="84"/>
        <item x="54"/>
        <item x="83"/>
        <item x="73"/>
        <item x="14"/>
        <item x="20"/>
        <item x="23"/>
        <item x="11"/>
        <item x="1"/>
        <item x="3"/>
        <item x="69"/>
        <item x="28"/>
        <item x="70"/>
        <item x="24"/>
        <item x="37"/>
        <item x="48"/>
        <item x="58"/>
        <item x="27"/>
        <item x="65"/>
        <item x="33"/>
        <item x="50"/>
        <item x="78"/>
        <item x="55"/>
        <item x="12"/>
        <item x="18"/>
        <item x="74"/>
        <item x="42"/>
        <item x="9"/>
        <item x="44"/>
        <item x="16"/>
        <item x="38"/>
        <item x="17"/>
        <item x="61"/>
        <item x="13"/>
        <item x="43"/>
        <item x="59"/>
        <item x="80"/>
        <item x="72"/>
        <item x="77"/>
        <item x="35"/>
        <item x="51"/>
        <item x="64"/>
        <item x="71"/>
        <item x="4"/>
        <item x="63"/>
        <item x="36"/>
        <item t="default"/>
      </items>
    </pivotField>
    <pivotField showAll="0"/>
    <pivotField showAll="0"/>
    <pivotField showAll="0">
      <items count="5">
        <item x="0"/>
        <item x="3"/>
        <item x="2"/>
        <item x="1"/>
        <item t="default"/>
      </items>
    </pivotField>
    <pivotField showAll="0">
      <items count="11">
        <item x="3"/>
        <item x="4"/>
        <item x="8"/>
        <item x="2"/>
        <item x="7"/>
        <item x="1"/>
        <item x="5"/>
        <item x="0"/>
        <item x="9"/>
        <item x="6"/>
        <item t="default"/>
      </items>
    </pivotField>
    <pivotField showAll="0">
      <items count="3">
        <item x="1"/>
        <item x="0"/>
        <item t="default"/>
      </items>
    </pivotField>
    <pivotField showAll="0">
      <items count="4">
        <item x="0"/>
        <item x="2"/>
        <item x="1"/>
        <item t="default"/>
      </items>
    </pivotField>
    <pivotField showAll="0">
      <items count="10">
        <item x="5"/>
        <item x="0"/>
        <item x="3"/>
        <item x="8"/>
        <item x="4"/>
        <item x="7"/>
        <item x="1"/>
        <item x="6"/>
        <item x="2"/>
        <item t="default"/>
      </items>
    </pivotField>
    <pivotField showAll="0"/>
    <pivotField showAll="0"/>
    <pivotField showAll="0"/>
    <pivotField showAll="0"/>
    <pivotField showAll="0"/>
    <pivotField showAll="0"/>
    <pivotField showAll="0"/>
    <pivotField dataField="1" showAll="0"/>
    <pivotField showAll="0">
      <items count="6">
        <item x="1"/>
        <item x="2"/>
        <item x="3"/>
        <item x="0"/>
        <item x="4"/>
        <item t="default"/>
      </items>
    </pivotField>
    <pivotField axis="axisRow" showAll="0">
      <items count="4">
        <item x="2"/>
        <item x="0"/>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8"/>
  </rowFields>
  <rowItems count="4">
    <i>
      <x/>
    </i>
    <i>
      <x v="1"/>
    </i>
    <i>
      <x v="2"/>
    </i>
    <i t="grand">
      <x/>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5210BB-8B85-48FC-8312-5CB9E16B8828}" name="channel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O3:Q6" firstHeaderRow="0" firstDataRow="1" firstDataCol="1"/>
  <pivotFields count="23">
    <pivotField showAll="0"/>
    <pivotField numFmtId="14" showAll="0">
      <items count="87">
        <item x="34"/>
        <item x="7"/>
        <item x="79"/>
        <item x="46"/>
        <item x="29"/>
        <item x="5"/>
        <item x="52"/>
        <item x="25"/>
        <item x="10"/>
        <item x="75"/>
        <item x="56"/>
        <item x="53"/>
        <item x="0"/>
        <item x="30"/>
        <item x="68"/>
        <item x="67"/>
        <item x="49"/>
        <item x="62"/>
        <item x="8"/>
        <item x="15"/>
        <item x="82"/>
        <item x="60"/>
        <item x="66"/>
        <item x="45"/>
        <item x="39"/>
        <item x="31"/>
        <item x="76"/>
        <item x="47"/>
        <item x="26"/>
        <item x="6"/>
        <item x="81"/>
        <item x="19"/>
        <item x="32"/>
        <item x="40"/>
        <item x="57"/>
        <item x="85"/>
        <item x="21"/>
        <item x="22"/>
        <item x="41"/>
        <item x="2"/>
        <item x="84"/>
        <item x="54"/>
        <item x="83"/>
        <item x="73"/>
        <item x="14"/>
        <item x="20"/>
        <item x="23"/>
        <item x="11"/>
        <item x="1"/>
        <item x="3"/>
        <item x="69"/>
        <item x="28"/>
        <item x="70"/>
        <item x="24"/>
        <item x="37"/>
        <item x="48"/>
        <item x="58"/>
        <item x="27"/>
        <item x="65"/>
        <item x="33"/>
        <item x="50"/>
        <item x="78"/>
        <item x="55"/>
        <item x="12"/>
        <item x="18"/>
        <item x="74"/>
        <item x="42"/>
        <item x="9"/>
        <item x="44"/>
        <item x="16"/>
        <item x="38"/>
        <item x="17"/>
        <item x="61"/>
        <item x="13"/>
        <item x="43"/>
        <item x="59"/>
        <item x="80"/>
        <item x="72"/>
        <item x="77"/>
        <item x="35"/>
        <item x="51"/>
        <item x="64"/>
        <item x="71"/>
        <item x="4"/>
        <item x="63"/>
        <item x="36"/>
        <item t="default"/>
      </items>
    </pivotField>
    <pivotField showAll="0"/>
    <pivotField showAll="0"/>
    <pivotField showAll="0">
      <items count="5">
        <item x="0"/>
        <item x="3"/>
        <item x="2"/>
        <item x="1"/>
        <item t="default"/>
      </items>
    </pivotField>
    <pivotField showAll="0">
      <items count="11">
        <item x="3"/>
        <item x="4"/>
        <item x="8"/>
        <item x="2"/>
        <item x="7"/>
        <item x="1"/>
        <item x="5"/>
        <item x="0"/>
        <item x="9"/>
        <item x="6"/>
        <item t="default"/>
      </items>
    </pivotField>
    <pivotField axis="axisRow" showAll="0">
      <items count="3">
        <item x="1"/>
        <item x="0"/>
        <item t="default"/>
      </items>
    </pivotField>
    <pivotField showAll="0">
      <items count="4">
        <item x="0"/>
        <item x="2"/>
        <item x="1"/>
        <item t="default"/>
      </items>
    </pivotField>
    <pivotField showAll="0">
      <items count="10">
        <item x="5"/>
        <item x="0"/>
        <item x="3"/>
        <item x="8"/>
        <item x="4"/>
        <item x="7"/>
        <item x="1"/>
        <item x="6"/>
        <item x="2"/>
        <item t="default"/>
      </items>
    </pivotField>
    <pivotField showAll="0"/>
    <pivotField showAll="0"/>
    <pivotField showAll="0"/>
    <pivotField showAll="0"/>
    <pivotField showAll="0"/>
    <pivotField dataField="1" showAll="0"/>
    <pivotField showAll="0"/>
    <pivotField dataField="1" showAll="0"/>
    <pivotField showAll="0">
      <items count="6">
        <item x="1"/>
        <item x="2"/>
        <item x="3"/>
        <item x="0"/>
        <item x="4"/>
        <item t="default"/>
      </items>
    </pivotField>
    <pivotField showAll="0">
      <items count="4">
        <item x="2"/>
        <item x="0"/>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3">
    <i>
      <x/>
    </i>
    <i>
      <x v="1"/>
    </i>
    <i t="grand">
      <x/>
    </i>
  </rowItems>
  <colFields count="1">
    <field x="-2"/>
  </colFields>
  <colItems count="2">
    <i>
      <x/>
    </i>
    <i i="1">
      <x v="1"/>
    </i>
  </colItems>
  <dataFields count="2">
    <dataField name="Sum of Net Sales" fld="16" baseField="0" baseItem="0"/>
    <dataField name="Average of Discount %" fld="14" subtotal="average" baseField="6"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0"/>
          </reference>
        </references>
      </pivotArea>
    </chartFormat>
    <chartFormat chart="2" format="4">
      <pivotArea type="data" outline="0" fieldPosition="0">
        <references count="2">
          <reference field="4294967294" count="1" selected="0">
            <x v="0"/>
          </reference>
          <reference field="6" count="1" selected="0">
            <x v="1"/>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6" count="1" selected="0">
            <x v="0"/>
          </reference>
        </references>
      </pivotArea>
    </chartFormat>
    <chartFormat chart="2" format="7">
      <pivotArea type="data" outline="0" fieldPosition="0">
        <references count="2">
          <reference field="4294967294" count="1" selected="0">
            <x v="1"/>
          </reference>
          <reference field="6"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6" count="1" selected="0">
            <x v="0"/>
          </reference>
        </references>
      </pivotArea>
    </chartFormat>
    <chartFormat chart="3" format="10">
      <pivotArea type="data" outline="0" fieldPosition="0">
        <references count="2">
          <reference field="4294967294" count="1" selected="0">
            <x v="0"/>
          </reference>
          <reference field="6" count="1" selected="0">
            <x v="1"/>
          </reference>
        </references>
      </pivotArea>
    </chartFormat>
    <chartFormat chart="3" format="11" series="1">
      <pivotArea type="data" outline="0" fieldPosition="0">
        <references count="1">
          <reference field="4294967294" count="1" selected="0">
            <x v="1"/>
          </reference>
        </references>
      </pivotArea>
    </chartFormat>
    <chartFormat chart="3" format="12">
      <pivotArea type="data" outline="0" fieldPosition="0">
        <references count="2">
          <reference field="4294967294" count="1" selected="0">
            <x v="1"/>
          </reference>
          <reference field="6" count="1" selected="0">
            <x v="0"/>
          </reference>
        </references>
      </pivotArea>
    </chartFormat>
    <chartFormat chart="3" format="13">
      <pivotArea type="data" outline="0" fieldPosition="0">
        <references count="2">
          <reference field="4294967294" count="1" selected="0">
            <x v="1"/>
          </reference>
          <reference field="6" count="1" selected="0">
            <x v="1"/>
          </reference>
        </references>
      </pivotArea>
    </chartFormat>
    <chartFormat chart="0" format="2">
      <pivotArea type="data" outline="0" fieldPosition="0">
        <references count="1">
          <reference field="4294967294" count="1" selected="0">
            <x v="0"/>
          </reference>
        </references>
      </pivotArea>
    </chartFormat>
    <chartFormat chart="0" format="3">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FEF26A-908E-4B91-B55D-3CF5E7DC029D}" name="totaldiscou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4" firstHeaderRow="1" firstDataRow="1" firstDataCol="0"/>
  <pivotFields count="23">
    <pivotField showAll="0"/>
    <pivotField numFmtId="14" showAll="0">
      <items count="87">
        <item x="34"/>
        <item x="7"/>
        <item x="79"/>
        <item x="46"/>
        <item x="29"/>
        <item x="5"/>
        <item x="52"/>
        <item x="25"/>
        <item x="10"/>
        <item x="75"/>
        <item x="56"/>
        <item x="53"/>
        <item x="0"/>
        <item x="30"/>
        <item x="68"/>
        <item x="67"/>
        <item x="49"/>
        <item x="62"/>
        <item x="8"/>
        <item x="15"/>
        <item x="82"/>
        <item x="60"/>
        <item x="66"/>
        <item x="45"/>
        <item x="39"/>
        <item x="31"/>
        <item x="76"/>
        <item x="47"/>
        <item x="26"/>
        <item x="6"/>
        <item x="81"/>
        <item x="19"/>
        <item x="32"/>
        <item x="40"/>
        <item x="57"/>
        <item x="85"/>
        <item x="21"/>
        <item x="22"/>
        <item x="41"/>
        <item x="2"/>
        <item x="84"/>
        <item x="54"/>
        <item x="83"/>
        <item x="73"/>
        <item x="14"/>
        <item x="20"/>
        <item x="23"/>
        <item x="11"/>
        <item x="1"/>
        <item x="3"/>
        <item x="69"/>
        <item x="28"/>
        <item x="70"/>
        <item x="24"/>
        <item x="37"/>
        <item x="48"/>
        <item x="58"/>
        <item x="27"/>
        <item x="65"/>
        <item x="33"/>
        <item x="50"/>
        <item x="78"/>
        <item x="55"/>
        <item x="12"/>
        <item x="18"/>
        <item x="74"/>
        <item x="42"/>
        <item x="9"/>
        <item x="44"/>
        <item x="16"/>
        <item x="38"/>
        <item x="17"/>
        <item x="61"/>
        <item x="13"/>
        <item x="43"/>
        <item x="59"/>
        <item x="80"/>
        <item x="72"/>
        <item x="77"/>
        <item x="35"/>
        <item x="51"/>
        <item x="64"/>
        <item x="71"/>
        <item x="4"/>
        <item x="63"/>
        <item x="36"/>
        <item t="default"/>
      </items>
    </pivotField>
    <pivotField showAll="0"/>
    <pivotField showAll="0"/>
    <pivotField showAll="0">
      <items count="5">
        <item x="0"/>
        <item x="3"/>
        <item x="2"/>
        <item x="1"/>
        <item t="default"/>
      </items>
    </pivotField>
    <pivotField showAll="0">
      <items count="11">
        <item x="3"/>
        <item x="4"/>
        <item x="8"/>
        <item x="2"/>
        <item x="7"/>
        <item x="1"/>
        <item x="5"/>
        <item x="0"/>
        <item x="9"/>
        <item x="6"/>
        <item t="default"/>
      </items>
    </pivotField>
    <pivotField showAll="0">
      <items count="3">
        <item x="1"/>
        <item x="0"/>
        <item t="default"/>
      </items>
    </pivotField>
    <pivotField showAll="0">
      <items count="4">
        <item x="0"/>
        <item x="2"/>
        <item x="1"/>
        <item t="default"/>
      </items>
    </pivotField>
    <pivotField showAll="0">
      <items count="10">
        <item x="5"/>
        <item x="0"/>
        <item x="3"/>
        <item x="8"/>
        <item x="4"/>
        <item x="7"/>
        <item x="1"/>
        <item x="6"/>
        <item x="2"/>
        <item t="default"/>
      </items>
    </pivotField>
    <pivotField showAll="0"/>
    <pivotField showAll="0"/>
    <pivotField showAll="0"/>
    <pivotField showAll="0"/>
    <pivotField showAll="0"/>
    <pivotField showAll="0"/>
    <pivotField dataField="1" showAll="0"/>
    <pivotField showAll="0"/>
    <pivotField showAll="0">
      <items count="6">
        <item x="1"/>
        <item x="2"/>
        <item x="3"/>
        <item x="0"/>
        <item x="4"/>
        <item t="default"/>
      </items>
    </pivotField>
    <pivotField showAll="0">
      <items count="4">
        <item x="2"/>
        <item x="0"/>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Discount Am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CC014B7-9B32-4FFE-82F5-C609C5621E1D}" name="PivotTable3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C3:AD16" firstHeaderRow="1" firstDataRow="1" firstDataCol="1"/>
  <pivotFields count="23">
    <pivotField showAll="0"/>
    <pivotField axis="axisRow" numFmtId="14" showAll="0">
      <items count="87">
        <item x="34"/>
        <item x="7"/>
        <item x="79"/>
        <item x="46"/>
        <item x="29"/>
        <item x="5"/>
        <item x="52"/>
        <item x="25"/>
        <item x="10"/>
        <item x="75"/>
        <item x="56"/>
        <item x="53"/>
        <item x="0"/>
        <item x="30"/>
        <item x="68"/>
        <item x="67"/>
        <item x="49"/>
        <item x="62"/>
        <item x="8"/>
        <item x="15"/>
        <item x="82"/>
        <item x="60"/>
        <item x="66"/>
        <item x="45"/>
        <item x="39"/>
        <item x="31"/>
        <item x="76"/>
        <item x="47"/>
        <item x="26"/>
        <item x="6"/>
        <item x="81"/>
        <item x="19"/>
        <item x="32"/>
        <item x="40"/>
        <item x="57"/>
        <item x="85"/>
        <item x="21"/>
        <item x="22"/>
        <item x="41"/>
        <item x="2"/>
        <item x="84"/>
        <item x="54"/>
        <item x="83"/>
        <item x="73"/>
        <item x="14"/>
        <item x="20"/>
        <item x="23"/>
        <item x="11"/>
        <item x="1"/>
        <item x="3"/>
        <item x="69"/>
        <item x="28"/>
        <item x="70"/>
        <item x="24"/>
        <item x="37"/>
        <item x="48"/>
        <item x="58"/>
        <item x="27"/>
        <item x="65"/>
        <item x="33"/>
        <item x="50"/>
        <item x="78"/>
        <item x="55"/>
        <item x="12"/>
        <item x="18"/>
        <item x="74"/>
        <item x="42"/>
        <item x="9"/>
        <item x="44"/>
        <item x="16"/>
        <item x="38"/>
        <item x="17"/>
        <item x="61"/>
        <item x="13"/>
        <item x="43"/>
        <item x="59"/>
        <item x="80"/>
        <item x="72"/>
        <item x="77"/>
        <item x="35"/>
        <item x="51"/>
        <item x="64"/>
        <item x="71"/>
        <item x="4"/>
        <item x="63"/>
        <item x="36"/>
        <item t="default"/>
      </items>
    </pivotField>
    <pivotField showAll="0"/>
    <pivotField showAll="0"/>
    <pivotField showAll="0">
      <items count="5">
        <item x="0"/>
        <item x="3"/>
        <item x="2"/>
        <item x="1"/>
        <item t="default"/>
      </items>
    </pivotField>
    <pivotField showAll="0">
      <items count="11">
        <item x="3"/>
        <item x="4"/>
        <item x="8"/>
        <item x="2"/>
        <item x="7"/>
        <item x="1"/>
        <item x="5"/>
        <item x="0"/>
        <item x="9"/>
        <item x="6"/>
        <item t="default"/>
      </items>
    </pivotField>
    <pivotField showAll="0">
      <items count="3">
        <item x="1"/>
        <item x="0"/>
        <item t="default"/>
      </items>
    </pivotField>
    <pivotField showAll="0">
      <items count="4">
        <item x="0"/>
        <item x="2"/>
        <item x="1"/>
        <item t="default"/>
      </items>
    </pivotField>
    <pivotField showAll="0">
      <items count="10">
        <item x="5"/>
        <item x="0"/>
        <item x="3"/>
        <item x="8"/>
        <item x="4"/>
        <item x="7"/>
        <item x="1"/>
        <item x="6"/>
        <item x="2"/>
        <item t="default"/>
      </items>
    </pivotField>
    <pivotField showAll="0"/>
    <pivotField showAll="0"/>
    <pivotField showAll="0"/>
    <pivotField showAll="0"/>
    <pivotField showAll="0"/>
    <pivotField showAll="0"/>
    <pivotField showAll="0"/>
    <pivotField dataField="1" showAll="0"/>
    <pivotField showAll="0">
      <items count="6">
        <item x="1"/>
        <item x="2"/>
        <item x="3"/>
        <item x="0"/>
        <item x="4"/>
        <item t="default"/>
      </items>
    </pivotField>
    <pivotField showAll="0">
      <items count="4">
        <item x="2"/>
        <item x="0"/>
        <item x="1"/>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2"/>
    <field x="21"/>
    <field x="1"/>
  </rowFields>
  <rowItems count="13">
    <i>
      <x v="1"/>
    </i>
    <i>
      <x v="2"/>
    </i>
    <i>
      <x v="3"/>
    </i>
    <i>
      <x v="4"/>
    </i>
    <i>
      <x v="5"/>
    </i>
    <i>
      <x v="6"/>
    </i>
    <i>
      <x v="7"/>
    </i>
    <i>
      <x v="8"/>
    </i>
    <i>
      <x v="9"/>
    </i>
    <i>
      <x v="10"/>
    </i>
    <i>
      <x v="11"/>
    </i>
    <i>
      <x v="12"/>
    </i>
    <i t="grand">
      <x/>
    </i>
  </rowItems>
  <colItems count="1">
    <i/>
  </colItems>
  <dataFields count="1">
    <dataField name="Sum of Net Sales" fld="16" baseField="0" baseItem="0"/>
  </dataFields>
  <chartFormats count="3">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04430C4-B29A-4C3F-9890-0D4045696F57}" name="net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2:A13" firstHeaderRow="1" firstDataRow="1" firstDataCol="0"/>
  <pivotFields count="23">
    <pivotField showAll="0"/>
    <pivotField numFmtId="14" showAll="0">
      <items count="87">
        <item x="34"/>
        <item x="7"/>
        <item x="79"/>
        <item x="46"/>
        <item x="29"/>
        <item x="5"/>
        <item x="52"/>
        <item x="25"/>
        <item x="10"/>
        <item x="75"/>
        <item x="56"/>
        <item x="53"/>
        <item x="0"/>
        <item x="30"/>
        <item x="68"/>
        <item x="67"/>
        <item x="49"/>
        <item x="62"/>
        <item x="8"/>
        <item x="15"/>
        <item x="82"/>
        <item x="60"/>
        <item x="66"/>
        <item x="45"/>
        <item x="39"/>
        <item x="31"/>
        <item x="76"/>
        <item x="47"/>
        <item x="26"/>
        <item x="6"/>
        <item x="81"/>
        <item x="19"/>
        <item x="32"/>
        <item x="40"/>
        <item x="57"/>
        <item x="85"/>
        <item x="21"/>
        <item x="22"/>
        <item x="41"/>
        <item x="2"/>
        <item x="84"/>
        <item x="54"/>
        <item x="83"/>
        <item x="73"/>
        <item x="14"/>
        <item x="20"/>
        <item x="23"/>
        <item x="11"/>
        <item x="1"/>
        <item x="3"/>
        <item x="69"/>
        <item x="28"/>
        <item x="70"/>
        <item x="24"/>
        <item x="37"/>
        <item x="48"/>
        <item x="58"/>
        <item x="27"/>
        <item x="65"/>
        <item x="33"/>
        <item x="50"/>
        <item x="78"/>
        <item x="55"/>
        <item x="12"/>
        <item x="18"/>
        <item x="74"/>
        <item x="42"/>
        <item x="9"/>
        <item x="44"/>
        <item x="16"/>
        <item x="38"/>
        <item x="17"/>
        <item x="61"/>
        <item x="13"/>
        <item x="43"/>
        <item x="59"/>
        <item x="80"/>
        <item x="72"/>
        <item x="77"/>
        <item x="35"/>
        <item x="51"/>
        <item x="64"/>
        <item x="71"/>
        <item x="4"/>
        <item x="63"/>
        <item x="36"/>
        <item t="default"/>
      </items>
    </pivotField>
    <pivotField showAll="0"/>
    <pivotField showAll="0"/>
    <pivotField showAll="0">
      <items count="5">
        <item x="0"/>
        <item x="3"/>
        <item x="2"/>
        <item x="1"/>
        <item t="default"/>
      </items>
    </pivotField>
    <pivotField showAll="0">
      <items count="11">
        <item x="3"/>
        <item x="4"/>
        <item x="8"/>
        <item x="2"/>
        <item x="7"/>
        <item x="1"/>
        <item x="5"/>
        <item x="0"/>
        <item x="9"/>
        <item x="6"/>
        <item t="default"/>
      </items>
    </pivotField>
    <pivotField showAll="0">
      <items count="3">
        <item x="1"/>
        <item x="0"/>
        <item t="default"/>
      </items>
    </pivotField>
    <pivotField showAll="0">
      <items count="4">
        <item x="0"/>
        <item x="2"/>
        <item x="1"/>
        <item t="default"/>
      </items>
    </pivotField>
    <pivotField showAll="0">
      <items count="10">
        <item x="5"/>
        <item x="0"/>
        <item x="3"/>
        <item x="8"/>
        <item x="4"/>
        <item x="7"/>
        <item x="1"/>
        <item x="6"/>
        <item x="2"/>
        <item t="default"/>
      </items>
    </pivotField>
    <pivotField showAll="0"/>
    <pivotField showAll="0"/>
    <pivotField showAll="0"/>
    <pivotField showAll="0"/>
    <pivotField showAll="0"/>
    <pivotField showAll="0"/>
    <pivotField showAll="0"/>
    <pivotField dataField="1" showAll="0"/>
    <pivotField showAll="0">
      <items count="6">
        <item x="1"/>
        <item x="2"/>
        <item x="3"/>
        <item x="0"/>
        <item x="4"/>
        <item t="default"/>
      </items>
    </pivotField>
    <pivotField showAll="0">
      <items count="4">
        <item x="2"/>
        <item x="0"/>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C38C33-91FE-4675-A069-C70ADBB16199}" sourceName="Region">
  <pivotTables>
    <pivotTable tabId="20" name="regionsale"/>
    <pivotTable tabId="20" name="categorysale"/>
    <pivotTable tabId="20" name="channelsale"/>
    <pivotTable tabId="20" name="citysale"/>
    <pivotTable tabId="20" name="deliverystatus"/>
    <pivotTable tabId="20" name="netsales"/>
    <pivotTable tabId="20" name="paymentmode"/>
    <pivotTable tabId="20" name="PivotTable36"/>
    <pivotTable tabId="20" name="totaldiscount"/>
    <pivotTable tabId="20" name="totalprofit"/>
    <pivotTable tabId="20" name="totalsale"/>
    <pivotTable tabId="20" name="subproduct"/>
  </pivotTables>
  <data>
    <tabular pivotCacheId="32561240">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D8ECC4EA-402B-4891-8258-C660851BE5BF}" sourceName="Sales Channel">
  <pivotTables>
    <pivotTable tabId="20" name="regionsale"/>
    <pivotTable tabId="20" name="categorysale"/>
    <pivotTable tabId="20" name="channelsale"/>
    <pivotTable tabId="20" name="citysale"/>
    <pivotTable tabId="20" name="deliverystatus"/>
    <pivotTable tabId="20" name="netsales"/>
    <pivotTable tabId="20" name="paymentmode"/>
    <pivotTable tabId="20" name="PivotTable36"/>
    <pivotTable tabId="20" name="totaldiscount"/>
    <pivotTable tabId="20" name="totalprofit"/>
    <pivotTable tabId="20" name="totalsale"/>
    <pivotTable tabId="20" name="subproduct"/>
  </pivotTables>
  <data>
    <tabular pivotCacheId="3256124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F0D0E5D-1655-43B8-BF43-A86020F522EC}" sourceName="Product Category">
  <pivotTables>
    <pivotTable tabId="20" name="regionsale"/>
    <pivotTable tabId="20" name="categorysale"/>
    <pivotTable tabId="20" name="channelsale"/>
    <pivotTable tabId="20" name="citysale"/>
    <pivotTable tabId="20" name="deliverystatus"/>
    <pivotTable tabId="20" name="netsales"/>
    <pivotTable tabId="20" name="paymentmode"/>
    <pivotTable tabId="20" name="totaldiscount"/>
    <pivotTable tabId="20" name="totalprofit"/>
    <pivotTable tabId="20" name="totalsale"/>
    <pivotTable tabId="20" name="subproduct"/>
    <pivotTable tabId="20" name="PivotTable36"/>
  </pivotTables>
  <data>
    <tabular pivotCacheId="3256124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DDFA82EB-935F-41F6-A6B4-E76C568B9E72}" sourceName="Product Sub-Category">
  <pivotTables>
    <pivotTable tabId="20" name="regionsale"/>
    <pivotTable tabId="20" name="categorysale"/>
    <pivotTable tabId="20" name="channelsale"/>
    <pivotTable tabId="20" name="citysale"/>
    <pivotTable tabId="20" name="deliverystatus"/>
    <pivotTable tabId="20" name="netsales"/>
    <pivotTable tabId="20" name="paymentmode"/>
    <pivotTable tabId="20" name="PivotTable36"/>
    <pivotTable tabId="20" name="totaldiscount"/>
    <pivotTable tabId="20" name="totalprofit"/>
    <pivotTable tabId="20" name="totalsale"/>
    <pivotTable tabId="20" name="subproduct"/>
  </pivotTables>
  <data>
    <tabular pivotCacheId="32561240">
      <items count="9">
        <i x="5" s="1"/>
        <i x="0" s="1"/>
        <i x="3" s="1"/>
        <i x="8" s="1"/>
        <i x="4" s="1"/>
        <i x="7" s="1"/>
        <i x="1" s="1"/>
        <i x="6"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88691E34-0827-49FA-8572-831F1917BC79}" sourceName="Payment Mode">
  <pivotTables>
    <pivotTable tabId="20" name="regionsale"/>
    <pivotTable tabId="20" name="categorysale"/>
    <pivotTable tabId="20" name="channelsale"/>
    <pivotTable tabId="20" name="citysale"/>
    <pivotTable tabId="20" name="deliverystatus"/>
    <pivotTable tabId="20" name="paymentmode"/>
    <pivotTable tabId="20" name="PivotTable36"/>
    <pivotTable tabId="20" name="totaldiscount"/>
    <pivotTable tabId="20" name="totalprofit"/>
    <pivotTable tabId="20" name="totalsale"/>
    <pivotTable tabId="20" name="subproduct"/>
    <pivotTable tabId="20" name="netsales"/>
  </pivotTables>
  <data>
    <tabular pivotCacheId="32561240">
      <items count="5">
        <i x="1" s="1"/>
        <i x="2" s="1"/>
        <i x="3" s="1"/>
        <i x="0"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81AC15BA-4639-4661-9F99-D061AE2FBC16}" sourceName="Delivery Status">
  <pivotTables>
    <pivotTable tabId="20" name="regionsale"/>
    <pivotTable tabId="20" name="categorysale"/>
    <pivotTable tabId="20" name="channelsale"/>
    <pivotTable tabId="20" name="citysale"/>
    <pivotTable tabId="20" name="deliverystatus"/>
    <pivotTable tabId="20" name="netsales"/>
    <pivotTable tabId="20" name="paymentmode"/>
    <pivotTable tabId="20" name="PivotTable36"/>
    <pivotTable tabId="20" name="totaldiscount"/>
    <pivotTable tabId="20" name="totalprofit"/>
    <pivotTable tabId="20" name="totalsale"/>
    <pivotTable tabId="20" name="subproduct"/>
  </pivotTables>
  <data>
    <tabular pivotCacheId="32561240">
      <items count="3">
        <i x="2"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0C24538-8C97-48EC-84B9-B60849701187}" sourceName="City">
  <pivotTables>
    <pivotTable tabId="20" name="regionsale"/>
    <pivotTable tabId="20" name="categorysale"/>
    <pivotTable tabId="20" name="channelsale"/>
    <pivotTable tabId="20" name="citysale"/>
    <pivotTable tabId="20" name="deliverystatus"/>
    <pivotTable tabId="20" name="netsales"/>
    <pivotTable tabId="20" name="paymentmode"/>
    <pivotTable tabId="20" name="PivotTable36"/>
    <pivotTable tabId="20" name="totaldiscount"/>
    <pivotTable tabId="20" name="totalprofit"/>
    <pivotTable tabId="20" name="totalsale"/>
    <pivotTable tabId="20" name="subproduct"/>
  </pivotTables>
  <data>
    <tabular pivotCacheId="32561240">
      <items count="10">
        <i x="3" s="1"/>
        <i x="4" s="1"/>
        <i x="8" s="1"/>
        <i x="2" s="1"/>
        <i x="7" s="1"/>
        <i x="1" s="1"/>
        <i x="5" s="1"/>
        <i x="0" s="1"/>
        <i x="9"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D2D3D99-324B-4F33-BBC3-032B30F7C8FA}" cache="Slicer_Region" caption="Region" rowHeight="247650"/>
  <slicer name="Sales Channel" xr10:uid="{6DA5A586-85B5-4801-9518-0DB181A35782}" cache="Slicer_Sales_Channel" caption="Sales Channel" rowHeight="247650"/>
  <slicer name="Product Category" xr10:uid="{8E6F0C07-433A-4541-8ECF-8179FD0A8D70}" cache="Slicer_Product_Category" caption="Product Category" rowHeight="247650"/>
  <slicer name="Product Sub-Category" xr10:uid="{FBB247C2-C125-478F-B7A0-95FAF4D22A80}" cache="Slicer_Product_Sub_Category" caption="Product Sub-Category" rowHeight="247650"/>
  <slicer name="Payment Mode" xr10:uid="{FACFD386-4187-4280-A08D-509E80163F31}" cache="Slicer_Payment_Mode" caption="Payment Mode" rowHeight="247650"/>
  <slicer name="Delivery Status" xr10:uid="{E799CBC9-030A-42C0-8145-A8B4F682A146}" cache="Slicer_Delivery_Status" caption="Delivery Status" rowHeight="247650"/>
  <slicer name="City" xr10:uid="{06F9F34F-49C9-4045-A723-95FBFFCA1F69}" cache="Slicer_City" caption="Cit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783B1FE-D0C9-4C80-BB27-9FF3D3474D33}" cache="Slicer_Region" caption="Region" columnCount="2" rowHeight="182880"/>
  <slicer name="Sales Channel 1" xr10:uid="{2ADFD623-A1B6-43EF-B4FD-4197ECBCBE3B}" cache="Slicer_Sales_Channel" caption="Sales Channel" columnCount="2" style="SlicerStyleDark5" rowHeight="365760"/>
  <slicer name="Product Category 1" xr10:uid="{20092524-3283-4EEF-82B8-56086F524057}" cache="Slicer_Product_Category" caption="Product Category" style="SlicerStyleDark2" rowHeight="247650"/>
  <slicer name="Product Sub-Category 1" xr10:uid="{DFB3DFBB-3986-42D6-9712-F66DE62DA936}" cache="Slicer_Product_Sub_Category" caption="Product Sub-Category" columnCount="4" style="SlicerStyleOther1" rowHeight="365760"/>
  <slicer name="Payment Mode 1" xr10:uid="{23577A2B-3850-4DE2-8D16-47FF5553B5DD}" cache="Slicer_Payment_Mode" caption="Payment Mode" columnCount="5" style="SlicerStyleDark3" rowHeight="457200"/>
  <slicer name="Delivery Status 1" xr10:uid="{4A03DF6C-0F37-4040-8D12-57CD470FEA8C}" cache="Slicer_Delivery_Status" caption="Delivery Status" columnCount="3" style="SlicerStyleLight2" rowHeight="365760"/>
  <slicer name="City 1" xr10:uid="{89AD885E-61E2-4194-A977-FA494F7625C4}" cache="Slicer_City" caption="City" columnCount="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4AC61BD-D61B-4618-9B16-1093404F8F36}" sourceName="Date">
  <pivotTables>
    <pivotTable tabId="20" name="citysale"/>
    <pivotTable tabId="20" name="categorysale"/>
    <pivotTable tabId="20" name="channelsale"/>
    <pivotTable tabId="20" name="deliverystatus"/>
    <pivotTable tabId="20" name="netsales"/>
    <pivotTable tabId="20" name="paymentmode"/>
    <pivotTable tabId="20" name="regionsale"/>
    <pivotTable tabId="20" name="totaldiscount"/>
    <pivotTable tabId="20" name="totalprofit"/>
    <pivotTable tabId="20" name="totalsale"/>
    <pivotTable tabId="20" name="subproduct"/>
    <pivotTable tabId="20" name="PivotTable36"/>
  </pivotTables>
  <state minimalRefreshVersion="6" lastRefreshVersion="6" pivotCacheId="32561240" filterType="unknown">
    <bounds startDate="2022-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447DB24-17C8-46F4-9D81-64BF71EB92C3}" cache="NativeTimeline_Date" caption="Date" level="2" selectionLevel="2" scrollPosition="2022-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A627913-2390-4627-BDB8-3E90B35898BD}" cache="NativeTimeline_Date" caption="Date" level="2" selectionLevel="2" scrollPosition="2022-04-01T00:00:00" style="TimeSlicerStyleDark6"/>
</timelines>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9">
    <wetp:webextensionref xmlns:r="http://schemas.openxmlformats.org/officeDocument/2006/relationships" r:id="rId1"/>
  </wetp:taskpane>
  <wetp:taskpane dockstate="right" visibility="0" width="438" row="7">
    <wetp:webextensionref xmlns:r="http://schemas.openxmlformats.org/officeDocument/2006/relationships" r:id="rId2"/>
  </wetp:taskpane>
  <wetp:taskpane dockstate="right" visibility="0" width="438" row="4">
    <wetp:webextensionref xmlns:r="http://schemas.openxmlformats.org/officeDocument/2006/relationships" r:id="rId3"/>
  </wetp:taskpane>
</wetp:taskpanes>
</file>

<file path=xl/webextensions/webextension1.xml><?xml version="1.0" encoding="utf-8"?>
<we:webextension xmlns:we="http://schemas.microsoft.com/office/webextensions/webextension/2010/11" id="{2CACCF1B-CF6B-4702-A810-2E32A37D4962}">
  <we:reference id="wa200001584" version="3.0.5.6" store="en-US" storeType="OMEX"/>
  <we:alternateReferences>
    <we:reference id="WA200001584" version="3.0.5.6" store="WA200001584"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5A64EC66-34E8-4683-8899-79F8E389AD06}">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59E67CBF-4A6C-47FF-81F1-7882774AECB3}">
  <we:reference id="wa104051163" version="1.2.0.3" store="en-US" storeType="OMEX"/>
  <we:alternateReferences>
    <we:reference id="WA104051163" version="1.2.0.3" store="WA104051163"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39C7A-4242-43FE-91D8-93AE2AEFA6BC}">
  <dimension ref="A2:AH53"/>
  <sheetViews>
    <sheetView topLeftCell="H1" zoomScale="76" zoomScaleNormal="16" workbookViewId="0">
      <selection activeCell="A5" sqref="A5"/>
    </sheetView>
  </sheetViews>
  <sheetFormatPr defaultRowHeight="14.4" x14ac:dyDescent="0.3"/>
  <cols>
    <col min="1" max="1" width="16.6640625" bestFit="1" customWidth="1"/>
    <col min="5" max="5" width="19.109375" bestFit="1" customWidth="1"/>
    <col min="6" max="6" width="18.5546875" bestFit="1" customWidth="1"/>
    <col min="7" max="7" width="16.21875" bestFit="1" customWidth="1"/>
    <col min="8" max="8" width="15.44140625" bestFit="1" customWidth="1"/>
    <col min="9" max="9" width="19.109375" bestFit="1" customWidth="1"/>
    <col min="11" max="11" width="13.21875" bestFit="1" customWidth="1"/>
    <col min="12" max="12" width="15.44140625" bestFit="1" customWidth="1"/>
    <col min="13" max="13" width="19.109375" bestFit="1" customWidth="1"/>
    <col min="15" max="15" width="13.21875" bestFit="1" customWidth="1"/>
    <col min="16" max="16" width="15.44140625" bestFit="1" customWidth="1"/>
    <col min="17" max="17" width="20" bestFit="1" customWidth="1"/>
    <col min="18" max="18" width="12.44140625" bestFit="1" customWidth="1"/>
    <col min="19" max="19" width="13.21875" bestFit="1" customWidth="1"/>
    <col min="20" max="20" width="15.44140625" bestFit="1" customWidth="1"/>
    <col min="21" max="21" width="23.5546875" bestFit="1" customWidth="1"/>
    <col min="23" max="23" width="14.88671875" bestFit="1" customWidth="1"/>
    <col min="24" max="24" width="18.5546875" bestFit="1" customWidth="1"/>
    <col min="25" max="25" width="15.44140625" customWidth="1"/>
    <col min="26" max="26" width="13.21875" bestFit="1" customWidth="1"/>
    <col min="27" max="27" width="15.44140625" bestFit="1" customWidth="1"/>
    <col min="28" max="28" width="13.77734375" customWidth="1"/>
    <col min="29" max="29" width="13.21875" bestFit="1" customWidth="1"/>
    <col min="30" max="30" width="15.44140625" bestFit="1" customWidth="1"/>
    <col min="31" max="31" width="15.21875" bestFit="1" customWidth="1"/>
    <col min="32" max="32" width="13.21875" bestFit="1" customWidth="1"/>
    <col min="33" max="33" width="15.44140625" bestFit="1" customWidth="1"/>
    <col min="34" max="34" width="18.77734375" bestFit="1" customWidth="1"/>
  </cols>
  <sheetData>
    <row r="2" spans="1:34" x14ac:dyDescent="0.3">
      <c r="A2">
        <f>GETPIVOTDATA("Total Sales",$A$3)</f>
        <v>3063644.040000001</v>
      </c>
      <c r="E2">
        <f>GETPIVOTDATA("Discount Amount",$E$3)</f>
        <v>466764.43999999989</v>
      </c>
      <c r="H2">
        <f>GETPIVOTDATA("Sum of Net Sales",$G$3)</f>
        <v>2596879.6</v>
      </c>
      <c r="I2">
        <f>GETPIVOTDATA("Sum of Profit Amount",$G$3)</f>
        <v>1</v>
      </c>
      <c r="AA2">
        <f>GETPIVOTDATA("Net Sales",$Z$3)</f>
        <v>2596879.6</v>
      </c>
      <c r="AD2">
        <f>GETPIVOTDATA("Net Sales",$AC$3)</f>
        <v>2596879.5999999996</v>
      </c>
    </row>
    <row r="3" spans="1:34" x14ac:dyDescent="0.3">
      <c r="A3" t="s">
        <v>456</v>
      </c>
      <c r="E3" t="s">
        <v>458</v>
      </c>
      <c r="G3" s="6" t="s">
        <v>10</v>
      </c>
      <c r="H3" s="3" t="s">
        <v>457</v>
      </c>
      <c r="I3" s="3" t="s">
        <v>459</v>
      </c>
      <c r="K3" s="4" t="s">
        <v>10</v>
      </c>
      <c r="L3" t="s">
        <v>457</v>
      </c>
      <c r="M3" t="s">
        <v>459</v>
      </c>
      <c r="O3" s="4" t="s">
        <v>10</v>
      </c>
      <c r="P3" t="s">
        <v>457</v>
      </c>
      <c r="Q3" t="s">
        <v>461</v>
      </c>
      <c r="S3" s="4" t="s">
        <v>10</v>
      </c>
      <c r="T3" t="s">
        <v>457</v>
      </c>
      <c r="U3" t="s">
        <v>460</v>
      </c>
      <c r="W3" s="4" t="s">
        <v>10</v>
      </c>
      <c r="X3" t="s">
        <v>462</v>
      </c>
      <c r="Z3" s="4" t="s">
        <v>10</v>
      </c>
      <c r="AA3" t="s">
        <v>457</v>
      </c>
      <c r="AC3" s="4" t="s">
        <v>10</v>
      </c>
      <c r="AD3" t="s">
        <v>457</v>
      </c>
      <c r="AF3" s="4" t="s">
        <v>10</v>
      </c>
      <c r="AG3" t="s">
        <v>457</v>
      </c>
      <c r="AH3" t="s">
        <v>463</v>
      </c>
    </row>
    <row r="4" spans="1:34" x14ac:dyDescent="0.3">
      <c r="A4">
        <v>3063644.040000001</v>
      </c>
      <c r="E4">
        <v>466764.43999999989</v>
      </c>
      <c r="G4" s="3" t="s">
        <v>22</v>
      </c>
      <c r="H4" s="3">
        <v>826095.08000000007</v>
      </c>
      <c r="I4" s="14">
        <v>0.3364219165996597</v>
      </c>
      <c r="K4" s="5" t="s">
        <v>7</v>
      </c>
      <c r="L4">
        <v>228175.44000000003</v>
      </c>
      <c r="M4" s="13">
        <v>9.4726138518558822E-2</v>
      </c>
      <c r="O4" s="5" t="s">
        <v>67</v>
      </c>
      <c r="P4">
        <v>979080.7300000001</v>
      </c>
      <c r="Q4">
        <v>14.134358974358975</v>
      </c>
      <c r="S4" s="5" t="s">
        <v>14</v>
      </c>
      <c r="T4">
        <v>958798.9800000001</v>
      </c>
      <c r="U4">
        <v>15.505789473684208</v>
      </c>
      <c r="W4" s="5" t="s">
        <v>62</v>
      </c>
      <c r="X4">
        <v>26603.502222222225</v>
      </c>
      <c r="Z4" s="5" t="s">
        <v>77</v>
      </c>
      <c r="AA4">
        <v>806485.07999999984</v>
      </c>
      <c r="AC4" s="5" t="s">
        <v>24</v>
      </c>
      <c r="AD4">
        <v>297079.36</v>
      </c>
      <c r="AF4" s="5" t="s">
        <v>114</v>
      </c>
      <c r="AG4">
        <v>152516.31</v>
      </c>
      <c r="AH4" s="13">
        <v>6.4846416382252553E-2</v>
      </c>
    </row>
    <row r="5" spans="1:34" x14ac:dyDescent="0.3">
      <c r="G5" s="3" t="s">
        <v>20</v>
      </c>
      <c r="H5" s="3">
        <v>966109.9</v>
      </c>
      <c r="I5" s="14">
        <v>0.38059913271508494</v>
      </c>
      <c r="K5" s="5" t="s">
        <v>9</v>
      </c>
      <c r="L5">
        <v>201929.59999999998</v>
      </c>
      <c r="M5" s="13">
        <v>6.8511598786645062E-2</v>
      </c>
      <c r="O5" s="5" t="s">
        <v>50</v>
      </c>
      <c r="P5">
        <v>1617798.8700000003</v>
      </c>
      <c r="Q5">
        <v>16.065409836065577</v>
      </c>
      <c r="S5" s="5" t="s">
        <v>13</v>
      </c>
      <c r="T5">
        <v>819042.49000000034</v>
      </c>
      <c r="U5">
        <v>16.992812499999999</v>
      </c>
      <c r="W5" s="5" t="s">
        <v>76</v>
      </c>
      <c r="X5">
        <v>17362.620000000003</v>
      </c>
      <c r="Z5" s="5" t="s">
        <v>55</v>
      </c>
      <c r="AA5">
        <v>945133.37000000023</v>
      </c>
      <c r="AC5" s="5" t="s">
        <v>25</v>
      </c>
      <c r="AD5">
        <v>179149.91999999998</v>
      </c>
      <c r="AF5" s="5" t="s">
        <v>51</v>
      </c>
      <c r="AG5">
        <v>253490.11</v>
      </c>
      <c r="AH5" s="13">
        <v>9.7269624573378843E-2</v>
      </c>
    </row>
    <row r="6" spans="1:34" x14ac:dyDescent="0.3">
      <c r="G6" s="3" t="s">
        <v>21</v>
      </c>
      <c r="H6" s="3">
        <v>453241.50000000006</v>
      </c>
      <c r="I6" s="14">
        <v>0.17917470878799488</v>
      </c>
      <c r="K6" s="5" t="s">
        <v>133</v>
      </c>
      <c r="L6">
        <v>161184.26</v>
      </c>
      <c r="M6" s="13">
        <v>6.3128618277573753E-2</v>
      </c>
      <c r="O6" s="5" t="s">
        <v>11</v>
      </c>
      <c r="P6">
        <v>2596879.5999999996</v>
      </c>
      <c r="Q6">
        <v>15.312299999999995</v>
      </c>
      <c r="S6" s="5" t="s">
        <v>15</v>
      </c>
      <c r="T6">
        <v>819038.12999999989</v>
      </c>
      <c r="U6">
        <v>13.542666666666664</v>
      </c>
      <c r="W6" s="5" t="s">
        <v>84</v>
      </c>
      <c r="X6">
        <v>35781.442941176465</v>
      </c>
      <c r="Z6" s="5" t="s">
        <v>63</v>
      </c>
      <c r="AA6">
        <v>845261.15</v>
      </c>
      <c r="AC6" s="5" t="s">
        <v>26</v>
      </c>
      <c r="AD6">
        <v>117730.97000000002</v>
      </c>
      <c r="AF6" s="5" t="s">
        <v>81</v>
      </c>
      <c r="AG6">
        <v>365831.69</v>
      </c>
      <c r="AH6" s="13">
        <v>0.1348122866894198</v>
      </c>
    </row>
    <row r="7" spans="1:34" x14ac:dyDescent="0.3">
      <c r="G7" s="3" t="s">
        <v>23</v>
      </c>
      <c r="H7" s="3">
        <v>351433.12</v>
      </c>
      <c r="I7" s="14">
        <v>0.10380424189726042</v>
      </c>
      <c r="K7" s="5" t="s">
        <v>4</v>
      </c>
      <c r="L7">
        <v>256159.78000000003</v>
      </c>
      <c r="M7" s="13">
        <v>8.5110724312966554E-2</v>
      </c>
      <c r="S7" s="5" t="s">
        <v>11</v>
      </c>
      <c r="T7">
        <v>2596879.5999999996</v>
      </c>
      <c r="U7">
        <v>15.392700000000005</v>
      </c>
      <c r="W7" s="5" t="s">
        <v>54</v>
      </c>
      <c r="X7">
        <v>20818.668888888889</v>
      </c>
      <c r="Z7" s="5" t="s">
        <v>11</v>
      </c>
      <c r="AA7">
        <v>2596879.6</v>
      </c>
      <c r="AC7" s="5" t="s">
        <v>27</v>
      </c>
      <c r="AD7">
        <v>124289.93999999999</v>
      </c>
      <c r="AF7" s="5" t="s">
        <v>198</v>
      </c>
      <c r="AG7">
        <v>204084.56</v>
      </c>
      <c r="AH7" s="13">
        <v>9.7269624573378843E-2</v>
      </c>
    </row>
    <row r="8" spans="1:34" x14ac:dyDescent="0.3">
      <c r="G8" s="3" t="s">
        <v>11</v>
      </c>
      <c r="H8" s="3">
        <v>2596879.6</v>
      </c>
      <c r="I8" s="14">
        <v>1</v>
      </c>
      <c r="K8" s="5" t="s">
        <v>8</v>
      </c>
      <c r="L8">
        <v>298477.91999999993</v>
      </c>
      <c r="M8" s="13">
        <v>0.11837143390250859</v>
      </c>
      <c r="W8" s="5" t="s">
        <v>90</v>
      </c>
      <c r="X8">
        <v>28080.115909090906</v>
      </c>
      <c r="AC8" s="5" t="s">
        <v>28</v>
      </c>
      <c r="AD8">
        <v>174267.71</v>
      </c>
      <c r="AF8" s="5" t="s">
        <v>100</v>
      </c>
      <c r="AG8">
        <v>237749.33000000002</v>
      </c>
      <c r="AH8" s="13">
        <v>0.11262798634812286</v>
      </c>
    </row>
    <row r="9" spans="1:34" x14ac:dyDescent="0.3">
      <c r="K9" s="5" t="s">
        <v>5</v>
      </c>
      <c r="L9">
        <v>440705.97000000003</v>
      </c>
      <c r="M9" s="13">
        <v>0.16182359429455423</v>
      </c>
      <c r="W9" s="5" t="s">
        <v>11</v>
      </c>
      <c r="X9">
        <v>25968.795999999995</v>
      </c>
      <c r="AC9" s="5" t="s">
        <v>29</v>
      </c>
      <c r="AD9">
        <v>140830.71</v>
      </c>
      <c r="AF9" s="5" t="s">
        <v>163</v>
      </c>
      <c r="AG9">
        <v>275495.52999999997</v>
      </c>
      <c r="AH9" s="13">
        <v>9.2150170648464161E-2</v>
      </c>
    </row>
    <row r="10" spans="1:34" x14ac:dyDescent="0.3">
      <c r="K10" s="5" t="s">
        <v>99</v>
      </c>
      <c r="L10">
        <v>245565.25999999998</v>
      </c>
      <c r="M10" s="13">
        <v>0.13004204663404986</v>
      </c>
      <c r="S10" s="7" t="s">
        <v>10</v>
      </c>
      <c r="T10" s="7" t="s">
        <v>457</v>
      </c>
      <c r="AC10" s="5" t="s">
        <v>467</v>
      </c>
      <c r="AD10">
        <v>187190.36000000002</v>
      </c>
      <c r="AF10" s="5" t="s">
        <v>59</v>
      </c>
      <c r="AG10">
        <v>391026.29000000004</v>
      </c>
      <c r="AH10" s="13">
        <v>0.14163822525597269</v>
      </c>
    </row>
    <row r="11" spans="1:34" x14ac:dyDescent="0.3">
      <c r="A11">
        <f>GETPIVOTDATA("Net Sales",$A$12)</f>
        <v>2596879.5999999996</v>
      </c>
      <c r="E11">
        <f>GETPIVOTDATA("Profit Amount",$E$12)</f>
        <v>406189.46999999991</v>
      </c>
      <c r="K11" s="5" t="s">
        <v>3</v>
      </c>
      <c r="L11">
        <v>183617.07000000004</v>
      </c>
      <c r="M11" s="13">
        <v>6.1421582396018297E-2</v>
      </c>
      <c r="S11" s="5" t="s">
        <v>14</v>
      </c>
      <c r="T11">
        <f>GETPIVOTDATA("Sum of Net Sales",$S$3,"Product Category",S11)</f>
        <v>958798.9800000001</v>
      </c>
      <c r="AC11" s="5" t="s">
        <v>468</v>
      </c>
      <c r="AD11">
        <v>324978.12</v>
      </c>
      <c r="AF11" s="5" t="s">
        <v>118</v>
      </c>
      <c r="AG11">
        <v>215461.47000000003</v>
      </c>
      <c r="AH11" s="13">
        <v>8.8737201365187715E-2</v>
      </c>
    </row>
    <row r="12" spans="1:34" x14ac:dyDescent="0.3">
      <c r="A12" t="s">
        <v>457</v>
      </c>
      <c r="E12" t="s">
        <v>459</v>
      </c>
      <c r="G12" s="8" t="s">
        <v>10</v>
      </c>
      <c r="H12" s="8" t="s">
        <v>457</v>
      </c>
      <c r="I12" s="8" t="s">
        <v>459</v>
      </c>
      <c r="K12" s="5" t="s">
        <v>2</v>
      </c>
      <c r="L12">
        <v>267804.78000000003</v>
      </c>
      <c r="M12" s="13">
        <v>9.7154857313263177E-2</v>
      </c>
      <c r="S12" s="5" t="s">
        <v>13</v>
      </c>
      <c r="T12">
        <f t="shared" ref="T12:T13" si="0">GETPIVOTDATA("Sum of Net Sales",$S$3,"Product Category",S12)</f>
        <v>819042.49000000034</v>
      </c>
      <c r="Z12" s="7" t="s">
        <v>10</v>
      </c>
      <c r="AA12" s="7" t="s">
        <v>457</v>
      </c>
      <c r="AC12" s="5" t="s">
        <v>465</v>
      </c>
      <c r="AD12">
        <v>295268.86</v>
      </c>
      <c r="AF12" s="5" t="s">
        <v>68</v>
      </c>
      <c r="AG12">
        <v>501224.31</v>
      </c>
      <c r="AH12" s="13">
        <v>0.17064846416382254</v>
      </c>
    </row>
    <row r="13" spans="1:34" x14ac:dyDescent="0.3">
      <c r="A13">
        <v>2596879.5999999996</v>
      </c>
      <c r="E13">
        <v>406189.46999999991</v>
      </c>
      <c r="G13" s="3" t="s">
        <v>22</v>
      </c>
      <c r="H13" s="3">
        <f>GETPIVOTDATA("Sum of Net Sales",$G$3,"Region",G13)</f>
        <v>826095.08000000007</v>
      </c>
      <c r="I13" s="14">
        <f>GETPIVOTDATA("Sum of Profit Amount",$G$3,"Region",G13)</f>
        <v>0.3364219165996597</v>
      </c>
      <c r="K13" s="5" t="s">
        <v>6</v>
      </c>
      <c r="L13">
        <v>313259.52000000002</v>
      </c>
      <c r="M13" s="13">
        <v>0.11970940556386162</v>
      </c>
      <c r="S13" s="5" t="s">
        <v>15</v>
      </c>
      <c r="T13">
        <f t="shared" si="0"/>
        <v>819038.12999999989</v>
      </c>
      <c r="Z13" s="5" t="s">
        <v>77</v>
      </c>
      <c r="AA13" s="15">
        <f>GETPIVOTDATA("Net Sales",$Z$3,"Delivery Status",Z13)</f>
        <v>806485.07999999984</v>
      </c>
      <c r="AC13" s="5" t="s">
        <v>466</v>
      </c>
      <c r="AD13">
        <v>343484.39</v>
      </c>
      <c r="AF13" s="5" t="s">
        <v>11</v>
      </c>
      <c r="AG13">
        <v>2596879.6</v>
      </c>
      <c r="AH13" s="13">
        <v>1</v>
      </c>
    </row>
    <row r="14" spans="1:34" x14ac:dyDescent="0.3">
      <c r="G14" s="3" t="s">
        <v>20</v>
      </c>
      <c r="H14" s="3">
        <f t="shared" ref="H14:H16" si="1">GETPIVOTDATA("Sum of Net Sales",$G$3,"Region",G14)</f>
        <v>966109.9</v>
      </c>
      <c r="I14" s="14">
        <f t="shared" ref="I14:I16" si="2">GETPIVOTDATA("Sum of Profit Amount",$G$3,"Region",G14)</f>
        <v>0.38059913271508494</v>
      </c>
      <c r="K14" s="5" t="s">
        <v>11</v>
      </c>
      <c r="L14">
        <v>2596879.6</v>
      </c>
      <c r="M14" s="13">
        <v>1</v>
      </c>
      <c r="S14" s="12" t="s">
        <v>11</v>
      </c>
      <c r="Z14" s="5" t="s">
        <v>55</v>
      </c>
      <c r="AA14" s="15">
        <f t="shared" ref="AA14:AA15" si="3">GETPIVOTDATA("Net Sales",$Z$3,"Delivery Status",Z14)</f>
        <v>945133.37000000023</v>
      </c>
      <c r="AC14" s="5" t="s">
        <v>469</v>
      </c>
      <c r="AD14">
        <v>104628.79000000001</v>
      </c>
    </row>
    <row r="15" spans="1:34" x14ac:dyDescent="0.3">
      <c r="G15" s="3" t="s">
        <v>21</v>
      </c>
      <c r="H15" s="3">
        <f t="shared" si="1"/>
        <v>453241.50000000006</v>
      </c>
      <c r="I15" s="14">
        <f t="shared" si="2"/>
        <v>0.17917470878799488</v>
      </c>
      <c r="Z15" s="5" t="s">
        <v>63</v>
      </c>
      <c r="AA15" s="15">
        <f t="shared" si="3"/>
        <v>845261.15</v>
      </c>
      <c r="AC15" s="5" t="s">
        <v>464</v>
      </c>
      <c r="AD15">
        <v>307980.46999999997</v>
      </c>
    </row>
    <row r="16" spans="1:34" x14ac:dyDescent="0.3">
      <c r="G16" s="3" t="s">
        <v>23</v>
      </c>
      <c r="H16" s="3">
        <f t="shared" si="1"/>
        <v>351433.12</v>
      </c>
      <c r="I16" s="14">
        <f t="shared" si="2"/>
        <v>0.10380424189726042</v>
      </c>
      <c r="Z16" s="12" t="s">
        <v>11</v>
      </c>
      <c r="AA16">
        <f>SUM(AA13:AA15)</f>
        <v>2596879.6</v>
      </c>
      <c r="AC16" s="5" t="s">
        <v>11</v>
      </c>
      <c r="AD16">
        <v>2596879.5999999996</v>
      </c>
    </row>
    <row r="17" spans="7:13" x14ac:dyDescent="0.3">
      <c r="G17" s="9" t="s">
        <v>11</v>
      </c>
      <c r="H17" s="3">
        <f>SUM(H13:H16)</f>
        <v>2596879.6</v>
      </c>
      <c r="I17" s="3">
        <f>SUM(I13:I16)</f>
        <v>1</v>
      </c>
      <c r="K17" s="7" t="s">
        <v>10</v>
      </c>
      <c r="L17" s="7" t="s">
        <v>457</v>
      </c>
      <c r="M17" s="7" t="s">
        <v>459</v>
      </c>
    </row>
    <row r="18" spans="7:13" x14ac:dyDescent="0.3">
      <c r="K18" s="5" t="s">
        <v>7</v>
      </c>
      <c r="L18">
        <f>GETPIVOTDATA("Sum of Net Sales",$K$3,"City",K18)</f>
        <v>228175.44000000003</v>
      </c>
      <c r="M18" s="1">
        <f>GETPIVOTDATA("Sum of Profit Amount",$K$3,"City",K18)</f>
        <v>9.4726138518558822E-2</v>
      </c>
    </row>
    <row r="19" spans="7:13" x14ac:dyDescent="0.3">
      <c r="K19" s="5" t="s">
        <v>9</v>
      </c>
      <c r="L19">
        <f t="shared" ref="L19:L27" si="4">GETPIVOTDATA("Sum of Net Sales",$K$3,"City",K19)</f>
        <v>201929.59999999998</v>
      </c>
      <c r="M19" s="1">
        <f t="shared" ref="M19:M27" si="5">GETPIVOTDATA("Sum of Profit Amount",$K$3,"City",K19)</f>
        <v>6.8511598786645062E-2</v>
      </c>
    </row>
    <row r="20" spans="7:13" x14ac:dyDescent="0.3">
      <c r="K20" s="5" t="s">
        <v>133</v>
      </c>
      <c r="L20">
        <f t="shared" si="4"/>
        <v>161184.26</v>
      </c>
      <c r="M20" s="1">
        <f t="shared" si="5"/>
        <v>6.3128618277573753E-2</v>
      </c>
    </row>
    <row r="21" spans="7:13" x14ac:dyDescent="0.3">
      <c r="K21" s="5" t="s">
        <v>4</v>
      </c>
      <c r="L21">
        <f t="shared" si="4"/>
        <v>256159.78000000003</v>
      </c>
      <c r="M21" s="1">
        <f t="shared" si="5"/>
        <v>8.5110724312966554E-2</v>
      </c>
    </row>
    <row r="22" spans="7:13" x14ac:dyDescent="0.3">
      <c r="K22" s="5" t="s">
        <v>8</v>
      </c>
      <c r="L22">
        <f t="shared" si="4"/>
        <v>298477.91999999993</v>
      </c>
      <c r="M22" s="1">
        <f t="shared" si="5"/>
        <v>0.11837143390250859</v>
      </c>
    </row>
    <row r="23" spans="7:13" x14ac:dyDescent="0.3">
      <c r="K23" s="5" t="s">
        <v>5</v>
      </c>
      <c r="L23">
        <f t="shared" si="4"/>
        <v>440705.97000000003</v>
      </c>
      <c r="M23" s="1">
        <f t="shared" si="5"/>
        <v>0.16182359429455423</v>
      </c>
    </row>
    <row r="24" spans="7:13" x14ac:dyDescent="0.3">
      <c r="K24" s="5" t="s">
        <v>99</v>
      </c>
      <c r="L24">
        <f t="shared" si="4"/>
        <v>245565.25999999998</v>
      </c>
      <c r="M24" s="1">
        <f t="shared" si="5"/>
        <v>0.13004204663404986</v>
      </c>
    </row>
    <row r="25" spans="7:13" x14ac:dyDescent="0.3">
      <c r="K25" s="5" t="s">
        <v>3</v>
      </c>
      <c r="L25">
        <f t="shared" si="4"/>
        <v>183617.07000000004</v>
      </c>
      <c r="M25" s="1">
        <f t="shared" si="5"/>
        <v>6.1421582396018297E-2</v>
      </c>
    </row>
    <row r="26" spans="7:13" x14ac:dyDescent="0.3">
      <c r="K26" s="5" t="s">
        <v>2</v>
      </c>
      <c r="L26">
        <f t="shared" si="4"/>
        <v>267804.78000000003</v>
      </c>
      <c r="M26" s="1">
        <f t="shared" si="5"/>
        <v>9.7154857313263177E-2</v>
      </c>
    </row>
    <row r="27" spans="7:13" x14ac:dyDescent="0.3">
      <c r="K27" s="5" t="s">
        <v>6</v>
      </c>
      <c r="L27">
        <f t="shared" si="4"/>
        <v>313259.52000000002</v>
      </c>
      <c r="M27" s="1">
        <f t="shared" si="5"/>
        <v>0.11970940556386162</v>
      </c>
    </row>
    <row r="28" spans="7:13" x14ac:dyDescent="0.3">
      <c r="K28" s="12" t="s">
        <v>11</v>
      </c>
      <c r="L28">
        <f>SUM(L18:L27)</f>
        <v>2596879.6</v>
      </c>
      <c r="M28">
        <f>SUM(M18:M27)</f>
        <v>1</v>
      </c>
    </row>
    <row r="40" spans="29:30" x14ac:dyDescent="0.3">
      <c r="AC40" s="7"/>
      <c r="AD40" s="7"/>
    </row>
    <row r="41" spans="29:30" x14ac:dyDescent="0.3">
      <c r="AC41" s="16"/>
      <c r="AD41" s="1"/>
    </row>
    <row r="42" spans="29:30" x14ac:dyDescent="0.3">
      <c r="AC42" s="16"/>
      <c r="AD42" s="1"/>
    </row>
    <row r="43" spans="29:30" x14ac:dyDescent="0.3">
      <c r="AC43" s="16"/>
      <c r="AD43" s="1"/>
    </row>
    <row r="44" spans="29:30" x14ac:dyDescent="0.3">
      <c r="AC44" s="16"/>
      <c r="AD44" s="1"/>
    </row>
    <row r="45" spans="29:30" x14ac:dyDescent="0.3">
      <c r="AC45" s="16"/>
      <c r="AD45" s="1"/>
    </row>
    <row r="46" spans="29:30" x14ac:dyDescent="0.3">
      <c r="AC46" s="16"/>
      <c r="AD46" s="1"/>
    </row>
    <row r="47" spans="29:30" x14ac:dyDescent="0.3">
      <c r="AC47" s="16"/>
      <c r="AD47" s="1"/>
    </row>
    <row r="48" spans="29:30" x14ac:dyDescent="0.3">
      <c r="AC48" s="16"/>
      <c r="AD48" s="1"/>
    </row>
    <row r="49" spans="29:30" x14ac:dyDescent="0.3">
      <c r="AC49" s="16"/>
      <c r="AD49" s="1"/>
    </row>
    <row r="50" spans="29:30" x14ac:dyDescent="0.3">
      <c r="AC50" s="16"/>
      <c r="AD50" s="1"/>
    </row>
    <row r="51" spans="29:30" x14ac:dyDescent="0.3">
      <c r="AC51" s="16"/>
      <c r="AD51" s="1"/>
    </row>
    <row r="52" spans="29:30" x14ac:dyDescent="0.3">
      <c r="AC52" s="16"/>
      <c r="AD52" s="1"/>
    </row>
    <row r="53" spans="29:30" x14ac:dyDescent="0.3">
      <c r="AC53" s="12"/>
    </row>
  </sheetData>
  <pageMargins left="0.7" right="0.7" top="0.75" bottom="0.75" header="0.3" footer="0.3"/>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5774-FE17-49B7-811A-848BCB7B30C9}">
  <dimension ref="A1"/>
  <sheetViews>
    <sheetView showGridLines="0" showRowColHeaders="0" tabSelected="1" zoomScale="64" zoomScaleNormal="100" workbookViewId="0">
      <selection activeCell="Y17" sqref="Y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5C643-CF33-465A-B1B3-BB89E71C1A9E}">
  <dimension ref="A1:U101"/>
  <sheetViews>
    <sheetView topLeftCell="A67" workbookViewId="0">
      <selection activeCell="E1" sqref="E1:E26"/>
    </sheetView>
  </sheetViews>
  <sheetFormatPr defaultRowHeight="14.4" x14ac:dyDescent="0.3"/>
  <cols>
    <col min="1" max="1" width="8.6640625" bestFit="1" customWidth="1"/>
    <col min="2" max="2" width="10.33203125" bestFit="1" customWidth="1"/>
    <col min="3" max="3" width="14.21875" bestFit="1" customWidth="1"/>
    <col min="4" max="4" width="10.88671875" bestFit="1" customWidth="1"/>
    <col min="5" max="5" width="6.44140625" bestFit="1" customWidth="1"/>
    <col min="6" max="6" width="10.6640625" bestFit="1" customWidth="1"/>
    <col min="7" max="7" width="12.33203125" bestFit="1" customWidth="1"/>
    <col min="8" max="8" width="14.88671875" bestFit="1" customWidth="1"/>
    <col min="9" max="9" width="18.6640625" bestFit="1" customWidth="1"/>
    <col min="10" max="10" width="17.5546875" bestFit="1" customWidth="1"/>
    <col min="11" max="11" width="10.77734375" bestFit="1" customWidth="1"/>
    <col min="12" max="12" width="11.44140625" bestFit="1" customWidth="1"/>
    <col min="13" max="13" width="8.77734375" bestFit="1" customWidth="1"/>
    <col min="14" max="14" width="9.5546875" bestFit="1" customWidth="1"/>
    <col min="15" max="15" width="10" bestFit="1" customWidth="1"/>
    <col min="16" max="16" width="14.77734375" bestFit="1" customWidth="1"/>
    <col min="17" max="17" width="9" bestFit="1" customWidth="1"/>
    <col min="18" max="18" width="14.21875" bestFit="1" customWidth="1"/>
    <col min="19" max="19" width="12.6640625" bestFit="1" customWidth="1"/>
    <col min="20" max="20" width="13.109375" bestFit="1" customWidth="1"/>
    <col min="21" max="21" width="11.88671875" bestFit="1" customWidth="1"/>
  </cols>
  <sheetData>
    <row r="1" spans="1:21" x14ac:dyDescent="0.3">
      <c r="A1" s="11" t="s">
        <v>30</v>
      </c>
      <c r="B1" s="11" t="s">
        <v>12</v>
      </c>
      <c r="C1" s="11" t="s">
        <v>31</v>
      </c>
      <c r="D1" s="11" t="s">
        <v>32</v>
      </c>
      <c r="E1" s="11" t="s">
        <v>19</v>
      </c>
      <c r="F1" s="11" t="s">
        <v>1</v>
      </c>
      <c r="G1" s="11" t="s">
        <v>33</v>
      </c>
      <c r="H1" s="11" t="s">
        <v>34</v>
      </c>
      <c r="I1" s="11" t="s">
        <v>35</v>
      </c>
      <c r="J1" s="11" t="s">
        <v>0</v>
      </c>
      <c r="K1" s="11" t="s">
        <v>36</v>
      </c>
      <c r="L1" s="11" t="s">
        <v>37</v>
      </c>
      <c r="M1" s="11" t="s">
        <v>38</v>
      </c>
      <c r="N1" s="11" t="s">
        <v>39</v>
      </c>
      <c r="O1" s="11" t="s">
        <v>40</v>
      </c>
      <c r="P1" s="11" t="s">
        <v>41</v>
      </c>
      <c r="Q1" s="11" t="s">
        <v>42</v>
      </c>
      <c r="R1" s="11" t="s">
        <v>43</v>
      </c>
      <c r="S1" s="11" t="s">
        <v>44</v>
      </c>
      <c r="T1" s="11" t="s">
        <v>45</v>
      </c>
      <c r="U1" s="11" t="s">
        <v>46</v>
      </c>
    </row>
    <row r="2" spans="1:21" x14ac:dyDescent="0.3">
      <c r="A2" s="2" t="s">
        <v>47</v>
      </c>
      <c r="B2" s="10">
        <v>44608</v>
      </c>
      <c r="C2" s="2" t="s">
        <v>48</v>
      </c>
      <c r="D2" s="2" t="s">
        <v>49</v>
      </c>
      <c r="E2" s="2" t="s">
        <v>22</v>
      </c>
      <c r="F2" s="2" t="s">
        <v>3</v>
      </c>
      <c r="G2" s="2" t="s">
        <v>50</v>
      </c>
      <c r="H2" s="2" t="s">
        <v>14</v>
      </c>
      <c r="I2" s="2" t="s">
        <v>51</v>
      </c>
      <c r="J2" s="2" t="s">
        <v>52</v>
      </c>
      <c r="K2" s="2" t="s">
        <v>53</v>
      </c>
      <c r="L2" s="2">
        <v>9</v>
      </c>
      <c r="M2" s="2">
        <v>7767.87</v>
      </c>
      <c r="N2" s="2">
        <v>69910.83</v>
      </c>
      <c r="O2" s="2">
        <v>6.41</v>
      </c>
      <c r="P2" s="2">
        <v>4481.28</v>
      </c>
      <c r="Q2" s="2">
        <v>65429.55</v>
      </c>
      <c r="R2" s="2" t="s">
        <v>54</v>
      </c>
      <c r="S2" s="2" t="s">
        <v>55</v>
      </c>
      <c r="T2" s="2">
        <v>13.7</v>
      </c>
      <c r="U2" s="2">
        <v>8963.85</v>
      </c>
    </row>
    <row r="3" spans="1:21" x14ac:dyDescent="0.3">
      <c r="A3" s="2" t="s">
        <v>56</v>
      </c>
      <c r="B3" s="10">
        <v>44787</v>
      </c>
      <c r="C3" s="2" t="s">
        <v>57</v>
      </c>
      <c r="D3" s="2" t="s">
        <v>58</v>
      </c>
      <c r="E3" s="2" t="s">
        <v>23</v>
      </c>
      <c r="F3" s="2" t="s">
        <v>5</v>
      </c>
      <c r="G3" s="2" t="s">
        <v>50</v>
      </c>
      <c r="H3" s="2" t="s">
        <v>15</v>
      </c>
      <c r="I3" s="2" t="s">
        <v>59</v>
      </c>
      <c r="J3" s="2" t="s">
        <v>60</v>
      </c>
      <c r="K3" s="2" t="s">
        <v>61</v>
      </c>
      <c r="L3" s="2">
        <v>7</v>
      </c>
      <c r="M3" s="2">
        <v>9055.67</v>
      </c>
      <c r="N3" s="2">
        <v>63389.69</v>
      </c>
      <c r="O3" s="2">
        <v>7.34</v>
      </c>
      <c r="P3" s="2">
        <v>4652.8</v>
      </c>
      <c r="Q3" s="2">
        <v>58736.89</v>
      </c>
      <c r="R3" s="2" t="s">
        <v>62</v>
      </c>
      <c r="S3" s="2" t="s">
        <v>63</v>
      </c>
      <c r="T3" s="2">
        <v>11.09</v>
      </c>
      <c r="U3" s="2">
        <v>6513.92</v>
      </c>
    </row>
    <row r="4" spans="1:21" x14ac:dyDescent="0.3">
      <c r="A4" s="2" t="s">
        <v>64</v>
      </c>
      <c r="B4" s="10">
        <v>44756</v>
      </c>
      <c r="C4" s="2" t="s">
        <v>65</v>
      </c>
      <c r="D4" s="2" t="s">
        <v>66</v>
      </c>
      <c r="E4" s="2" t="s">
        <v>23</v>
      </c>
      <c r="F4" s="2" t="s">
        <v>4</v>
      </c>
      <c r="G4" s="2" t="s">
        <v>67</v>
      </c>
      <c r="H4" s="2" t="s">
        <v>14</v>
      </c>
      <c r="I4" s="2" t="s">
        <v>68</v>
      </c>
      <c r="J4" s="2" t="s">
        <v>69</v>
      </c>
      <c r="K4" s="2" t="s">
        <v>70</v>
      </c>
      <c r="L4" s="2">
        <v>7</v>
      </c>
      <c r="M4" s="2">
        <v>2909.98</v>
      </c>
      <c r="N4" s="2">
        <v>20369.86</v>
      </c>
      <c r="O4" s="2">
        <v>11.73</v>
      </c>
      <c r="P4" s="2">
        <v>2389.38</v>
      </c>
      <c r="Q4" s="2">
        <v>17980.48</v>
      </c>
      <c r="R4" s="2" t="s">
        <v>54</v>
      </c>
      <c r="S4" s="2" t="s">
        <v>63</v>
      </c>
      <c r="T4" s="2">
        <v>7.22</v>
      </c>
      <c r="U4" s="2">
        <v>1298.19</v>
      </c>
    </row>
    <row r="5" spans="1:21" x14ac:dyDescent="0.3">
      <c r="A5" s="2" t="s">
        <v>71</v>
      </c>
      <c r="B5" s="10">
        <v>44789</v>
      </c>
      <c r="C5" s="2" t="s">
        <v>72</v>
      </c>
      <c r="D5" s="2" t="s">
        <v>73</v>
      </c>
      <c r="E5" s="2" t="s">
        <v>21</v>
      </c>
      <c r="F5" s="2" t="s">
        <v>7</v>
      </c>
      <c r="G5" s="2" t="s">
        <v>50</v>
      </c>
      <c r="H5" s="2" t="s">
        <v>14</v>
      </c>
      <c r="I5" s="2" t="s">
        <v>68</v>
      </c>
      <c r="J5" s="2" t="s">
        <v>74</v>
      </c>
      <c r="K5" s="2" t="s">
        <v>75</v>
      </c>
      <c r="L5" s="2">
        <v>6</v>
      </c>
      <c r="M5" s="2">
        <v>2466.84</v>
      </c>
      <c r="N5" s="2">
        <v>14801.04</v>
      </c>
      <c r="O5" s="2">
        <v>8.44</v>
      </c>
      <c r="P5" s="2">
        <v>1249.21</v>
      </c>
      <c r="Q5" s="2">
        <v>13551.83</v>
      </c>
      <c r="R5" s="2" t="s">
        <v>76</v>
      </c>
      <c r="S5" s="2" t="s">
        <v>77</v>
      </c>
      <c r="T5" s="2">
        <v>15.16</v>
      </c>
      <c r="U5" s="2">
        <v>2054.46</v>
      </c>
    </row>
    <row r="6" spans="1:21" x14ac:dyDescent="0.3">
      <c r="A6" s="2" t="s">
        <v>78</v>
      </c>
      <c r="B6" s="10">
        <v>44920</v>
      </c>
      <c r="C6" s="2" t="s">
        <v>79</v>
      </c>
      <c r="D6" s="2" t="s">
        <v>80</v>
      </c>
      <c r="E6" s="2" t="s">
        <v>20</v>
      </c>
      <c r="F6" s="2" t="s">
        <v>5</v>
      </c>
      <c r="G6" s="2" t="s">
        <v>67</v>
      </c>
      <c r="H6" s="2" t="s">
        <v>13</v>
      </c>
      <c r="I6" s="2" t="s">
        <v>81</v>
      </c>
      <c r="J6" s="2" t="s">
        <v>82</v>
      </c>
      <c r="K6" s="2" t="s">
        <v>83</v>
      </c>
      <c r="L6" s="2">
        <v>8</v>
      </c>
      <c r="M6" s="2">
        <v>8765.14</v>
      </c>
      <c r="N6" s="2">
        <v>70121.119999999995</v>
      </c>
      <c r="O6" s="2">
        <v>24.79</v>
      </c>
      <c r="P6" s="2">
        <v>17383.03</v>
      </c>
      <c r="Q6" s="2">
        <v>52738.09</v>
      </c>
      <c r="R6" s="2" t="s">
        <v>84</v>
      </c>
      <c r="S6" s="2" t="s">
        <v>77</v>
      </c>
      <c r="T6" s="2">
        <v>16.399999999999999</v>
      </c>
      <c r="U6" s="2">
        <v>8649.0499999999993</v>
      </c>
    </row>
    <row r="7" spans="1:21" x14ac:dyDescent="0.3">
      <c r="A7" s="2" t="s">
        <v>85</v>
      </c>
      <c r="B7" s="10">
        <v>44583</v>
      </c>
      <c r="C7" s="2" t="s">
        <v>86</v>
      </c>
      <c r="D7" s="2" t="s">
        <v>87</v>
      </c>
      <c r="E7" s="2" t="s">
        <v>23</v>
      </c>
      <c r="F7" s="2" t="s">
        <v>9</v>
      </c>
      <c r="G7" s="2" t="s">
        <v>50</v>
      </c>
      <c r="H7" s="2" t="s">
        <v>14</v>
      </c>
      <c r="I7" s="2" t="s">
        <v>51</v>
      </c>
      <c r="J7" s="2" t="s">
        <v>88</v>
      </c>
      <c r="K7" s="2" t="s">
        <v>89</v>
      </c>
      <c r="L7" s="2">
        <v>8</v>
      </c>
      <c r="M7" s="2">
        <v>4638.83</v>
      </c>
      <c r="N7" s="2">
        <v>37110.639999999999</v>
      </c>
      <c r="O7" s="2">
        <v>5.48</v>
      </c>
      <c r="P7" s="2">
        <v>2033.66</v>
      </c>
      <c r="Q7" s="2">
        <v>35076.980000000003</v>
      </c>
      <c r="R7" s="2" t="s">
        <v>90</v>
      </c>
      <c r="S7" s="2" t="s">
        <v>55</v>
      </c>
      <c r="T7" s="2">
        <v>18.420000000000002</v>
      </c>
      <c r="U7" s="2">
        <v>6461.18</v>
      </c>
    </row>
    <row r="8" spans="1:21" x14ac:dyDescent="0.3">
      <c r="A8" s="2" t="s">
        <v>91</v>
      </c>
      <c r="B8" s="10">
        <v>44709</v>
      </c>
      <c r="C8" s="2" t="s">
        <v>92</v>
      </c>
      <c r="D8" s="2" t="s">
        <v>93</v>
      </c>
      <c r="E8" s="2" t="s">
        <v>20</v>
      </c>
      <c r="F8" s="2" t="s">
        <v>3</v>
      </c>
      <c r="G8" s="2" t="s">
        <v>50</v>
      </c>
      <c r="H8" s="2" t="s">
        <v>13</v>
      </c>
      <c r="I8" s="2" t="s">
        <v>81</v>
      </c>
      <c r="J8" s="2" t="s">
        <v>94</v>
      </c>
      <c r="K8" s="2" t="s">
        <v>95</v>
      </c>
      <c r="L8" s="2">
        <v>2</v>
      </c>
      <c r="M8" s="2">
        <v>5482.49</v>
      </c>
      <c r="N8" s="2">
        <v>10964.98</v>
      </c>
      <c r="O8" s="2">
        <v>23.03</v>
      </c>
      <c r="P8" s="2">
        <v>2525.23</v>
      </c>
      <c r="Q8" s="2">
        <v>8439.75</v>
      </c>
      <c r="R8" s="2" t="s">
        <v>62</v>
      </c>
      <c r="S8" s="2" t="s">
        <v>77</v>
      </c>
      <c r="T8" s="2">
        <v>5.0599999999999996</v>
      </c>
      <c r="U8" s="2">
        <v>427.05</v>
      </c>
    </row>
    <row r="9" spans="1:21" x14ac:dyDescent="0.3">
      <c r="A9" s="2" t="s">
        <v>96</v>
      </c>
      <c r="B9" s="10">
        <v>44571</v>
      </c>
      <c r="C9" s="2" t="s">
        <v>97</v>
      </c>
      <c r="D9" s="2" t="s">
        <v>98</v>
      </c>
      <c r="E9" s="2" t="s">
        <v>20</v>
      </c>
      <c r="F9" s="2" t="s">
        <v>99</v>
      </c>
      <c r="G9" s="2" t="s">
        <v>50</v>
      </c>
      <c r="H9" s="2" t="s">
        <v>13</v>
      </c>
      <c r="I9" s="2" t="s">
        <v>100</v>
      </c>
      <c r="J9" s="2" t="s">
        <v>101</v>
      </c>
      <c r="K9" s="2" t="s">
        <v>102</v>
      </c>
      <c r="L9" s="2">
        <v>9</v>
      </c>
      <c r="M9" s="2">
        <v>7297.5</v>
      </c>
      <c r="N9" s="2">
        <v>65677.5</v>
      </c>
      <c r="O9" s="2">
        <v>22.71</v>
      </c>
      <c r="P9" s="2">
        <v>14915.36</v>
      </c>
      <c r="Q9" s="2">
        <v>50762.14</v>
      </c>
      <c r="R9" s="2" t="s">
        <v>90</v>
      </c>
      <c r="S9" s="2" t="s">
        <v>63</v>
      </c>
      <c r="T9" s="2">
        <v>23.37</v>
      </c>
      <c r="U9" s="2">
        <v>11863.11</v>
      </c>
    </row>
    <row r="10" spans="1:21" x14ac:dyDescent="0.3">
      <c r="A10" s="2" t="s">
        <v>103</v>
      </c>
      <c r="B10" s="10">
        <v>44655</v>
      </c>
      <c r="C10" s="2" t="s">
        <v>104</v>
      </c>
      <c r="D10" s="2" t="s">
        <v>105</v>
      </c>
      <c r="E10" s="2" t="s">
        <v>22</v>
      </c>
      <c r="F10" s="2" t="s">
        <v>6</v>
      </c>
      <c r="G10" s="2" t="s">
        <v>50</v>
      </c>
      <c r="H10" s="2" t="s">
        <v>13</v>
      </c>
      <c r="I10" s="2" t="s">
        <v>81</v>
      </c>
      <c r="J10" s="2" t="s">
        <v>94</v>
      </c>
      <c r="K10" s="2" t="s">
        <v>106</v>
      </c>
      <c r="L10" s="2">
        <v>9</v>
      </c>
      <c r="M10" s="2">
        <v>7265.32</v>
      </c>
      <c r="N10" s="2">
        <v>65387.88</v>
      </c>
      <c r="O10" s="2">
        <v>14.93</v>
      </c>
      <c r="P10" s="2">
        <v>9762.41</v>
      </c>
      <c r="Q10" s="2">
        <v>55625.47</v>
      </c>
      <c r="R10" s="2" t="s">
        <v>62</v>
      </c>
      <c r="S10" s="2" t="s">
        <v>63</v>
      </c>
      <c r="T10" s="2">
        <v>21.16</v>
      </c>
      <c r="U10" s="2">
        <v>11770.35</v>
      </c>
    </row>
    <row r="11" spans="1:21" x14ac:dyDescent="0.3">
      <c r="A11" s="2" t="s">
        <v>107</v>
      </c>
      <c r="B11" s="10">
        <v>44852</v>
      </c>
      <c r="C11" s="2" t="s">
        <v>108</v>
      </c>
      <c r="D11" s="2" t="s">
        <v>109</v>
      </c>
      <c r="E11" s="2" t="s">
        <v>22</v>
      </c>
      <c r="F11" s="2" t="s">
        <v>99</v>
      </c>
      <c r="G11" s="2" t="s">
        <v>50</v>
      </c>
      <c r="H11" s="2" t="s">
        <v>14</v>
      </c>
      <c r="I11" s="2" t="s">
        <v>51</v>
      </c>
      <c r="J11" s="2" t="s">
        <v>52</v>
      </c>
      <c r="K11" s="2" t="s">
        <v>110</v>
      </c>
      <c r="L11" s="2">
        <v>9</v>
      </c>
      <c r="M11" s="2">
        <v>5186.45</v>
      </c>
      <c r="N11" s="2">
        <v>46678.05</v>
      </c>
      <c r="O11" s="2">
        <v>4.92</v>
      </c>
      <c r="P11" s="2">
        <v>2296.56</v>
      </c>
      <c r="Q11" s="2">
        <v>44381.49</v>
      </c>
      <c r="R11" s="2" t="s">
        <v>54</v>
      </c>
      <c r="S11" s="2" t="s">
        <v>63</v>
      </c>
      <c r="T11" s="2">
        <v>24.98</v>
      </c>
      <c r="U11" s="2">
        <v>11086.5</v>
      </c>
    </row>
    <row r="12" spans="1:21" x14ac:dyDescent="0.3">
      <c r="A12" s="2" t="s">
        <v>111</v>
      </c>
      <c r="B12" s="10">
        <v>44593</v>
      </c>
      <c r="C12" s="2" t="s">
        <v>112</v>
      </c>
      <c r="D12" s="2" t="s">
        <v>113</v>
      </c>
      <c r="E12" s="2" t="s">
        <v>22</v>
      </c>
      <c r="F12" s="2" t="s">
        <v>9</v>
      </c>
      <c r="G12" s="2" t="s">
        <v>50</v>
      </c>
      <c r="H12" s="2" t="s">
        <v>15</v>
      </c>
      <c r="I12" s="2" t="s">
        <v>114</v>
      </c>
      <c r="J12" s="2" t="s">
        <v>16</v>
      </c>
      <c r="K12" s="2" t="s">
        <v>115</v>
      </c>
      <c r="L12" s="2">
        <v>4</v>
      </c>
      <c r="M12" s="2">
        <v>4910.28</v>
      </c>
      <c r="N12" s="2">
        <v>19641.12</v>
      </c>
      <c r="O12" s="2">
        <v>12.8</v>
      </c>
      <c r="P12" s="2">
        <v>2514.06</v>
      </c>
      <c r="Q12" s="2">
        <v>17127.060000000001</v>
      </c>
      <c r="R12" s="2" t="s">
        <v>54</v>
      </c>
      <c r="S12" s="2" t="s">
        <v>55</v>
      </c>
      <c r="T12" s="2">
        <v>19.28</v>
      </c>
      <c r="U12" s="2">
        <v>3302.1</v>
      </c>
    </row>
    <row r="13" spans="1:21" x14ac:dyDescent="0.3">
      <c r="A13" s="2" t="s">
        <v>116</v>
      </c>
      <c r="B13" s="10">
        <v>44784</v>
      </c>
      <c r="C13" s="2" t="s">
        <v>86</v>
      </c>
      <c r="D13" s="2" t="s">
        <v>117</v>
      </c>
      <c r="E13" s="2" t="s">
        <v>21</v>
      </c>
      <c r="F13" s="2" t="s">
        <v>4</v>
      </c>
      <c r="G13" s="2" t="s">
        <v>50</v>
      </c>
      <c r="H13" s="2" t="s">
        <v>13</v>
      </c>
      <c r="I13" s="2" t="s">
        <v>118</v>
      </c>
      <c r="J13" s="2" t="s">
        <v>119</v>
      </c>
      <c r="K13" s="2" t="s">
        <v>120</v>
      </c>
      <c r="L13" s="2">
        <v>9</v>
      </c>
      <c r="M13" s="2">
        <v>3118.91</v>
      </c>
      <c r="N13" s="2">
        <v>28070.19</v>
      </c>
      <c r="O13" s="2">
        <v>10.48</v>
      </c>
      <c r="P13" s="2">
        <v>2941.76</v>
      </c>
      <c r="Q13" s="2">
        <v>25128.43</v>
      </c>
      <c r="R13" s="2" t="s">
        <v>54</v>
      </c>
      <c r="S13" s="2" t="s">
        <v>63</v>
      </c>
      <c r="T13" s="2">
        <v>20.11</v>
      </c>
      <c r="U13" s="2">
        <v>5053.33</v>
      </c>
    </row>
    <row r="14" spans="1:21" x14ac:dyDescent="0.3">
      <c r="A14" s="2" t="s">
        <v>121</v>
      </c>
      <c r="B14" s="10">
        <v>44833</v>
      </c>
      <c r="C14" s="2" t="s">
        <v>65</v>
      </c>
      <c r="D14" s="2" t="s">
        <v>122</v>
      </c>
      <c r="E14" s="2" t="s">
        <v>20</v>
      </c>
      <c r="F14" s="2" t="s">
        <v>4</v>
      </c>
      <c r="G14" s="2" t="s">
        <v>67</v>
      </c>
      <c r="H14" s="2" t="s">
        <v>15</v>
      </c>
      <c r="I14" s="2" t="s">
        <v>114</v>
      </c>
      <c r="J14" s="2" t="s">
        <v>123</v>
      </c>
      <c r="K14" s="2" t="s">
        <v>124</v>
      </c>
      <c r="L14" s="2">
        <v>4</v>
      </c>
      <c r="M14" s="2">
        <v>590.1</v>
      </c>
      <c r="N14" s="2">
        <v>2360.4</v>
      </c>
      <c r="O14" s="2">
        <v>9.24</v>
      </c>
      <c r="P14" s="2">
        <v>218.1</v>
      </c>
      <c r="Q14" s="2">
        <v>2142.3000000000002</v>
      </c>
      <c r="R14" s="2" t="s">
        <v>54</v>
      </c>
      <c r="S14" s="2" t="s">
        <v>77</v>
      </c>
      <c r="T14" s="2">
        <v>18.13</v>
      </c>
      <c r="U14" s="2">
        <v>388.4</v>
      </c>
    </row>
    <row r="15" spans="1:21" x14ac:dyDescent="0.3">
      <c r="A15" s="2" t="s">
        <v>125</v>
      </c>
      <c r="B15" s="10">
        <v>44874</v>
      </c>
      <c r="C15" s="2" t="s">
        <v>126</v>
      </c>
      <c r="D15" s="2" t="s">
        <v>127</v>
      </c>
      <c r="E15" s="2" t="s">
        <v>22</v>
      </c>
      <c r="F15" s="2" t="s">
        <v>8</v>
      </c>
      <c r="G15" s="2" t="s">
        <v>50</v>
      </c>
      <c r="H15" s="2" t="s">
        <v>15</v>
      </c>
      <c r="I15" s="2" t="s">
        <v>59</v>
      </c>
      <c r="J15" s="2" t="s">
        <v>128</v>
      </c>
      <c r="K15" s="2" t="s">
        <v>129</v>
      </c>
      <c r="L15" s="2">
        <v>9</v>
      </c>
      <c r="M15" s="2">
        <v>4288.42</v>
      </c>
      <c r="N15" s="2">
        <v>38595.78</v>
      </c>
      <c r="O15" s="2">
        <v>29.69</v>
      </c>
      <c r="P15" s="2">
        <v>11459.09</v>
      </c>
      <c r="Q15" s="2">
        <v>27136.69</v>
      </c>
      <c r="R15" s="2" t="s">
        <v>76</v>
      </c>
      <c r="S15" s="2" t="s">
        <v>55</v>
      </c>
      <c r="T15" s="2">
        <v>11.03</v>
      </c>
      <c r="U15" s="2">
        <v>2993.18</v>
      </c>
    </row>
    <row r="16" spans="1:21" x14ac:dyDescent="0.3">
      <c r="A16" s="2" t="s">
        <v>130</v>
      </c>
      <c r="B16" s="10">
        <v>44764</v>
      </c>
      <c r="C16" s="2" t="s">
        <v>131</v>
      </c>
      <c r="D16" s="2" t="s">
        <v>132</v>
      </c>
      <c r="E16" s="2" t="s">
        <v>21</v>
      </c>
      <c r="F16" s="2" t="s">
        <v>133</v>
      </c>
      <c r="G16" s="2" t="s">
        <v>67</v>
      </c>
      <c r="H16" s="2" t="s">
        <v>13</v>
      </c>
      <c r="I16" s="2" t="s">
        <v>100</v>
      </c>
      <c r="J16" s="2" t="s">
        <v>134</v>
      </c>
      <c r="K16" s="2" t="s">
        <v>135</v>
      </c>
      <c r="L16" s="2">
        <v>10</v>
      </c>
      <c r="M16" s="2">
        <v>400.56</v>
      </c>
      <c r="N16" s="2">
        <v>4005.6</v>
      </c>
      <c r="O16" s="2">
        <v>23.77</v>
      </c>
      <c r="P16" s="2">
        <v>952.13</v>
      </c>
      <c r="Q16" s="2">
        <v>3053.47</v>
      </c>
      <c r="R16" s="2" t="s">
        <v>76</v>
      </c>
      <c r="S16" s="2" t="s">
        <v>77</v>
      </c>
      <c r="T16" s="2">
        <v>24.66</v>
      </c>
      <c r="U16" s="2">
        <v>752.99</v>
      </c>
    </row>
    <row r="17" spans="1:21" x14ac:dyDescent="0.3">
      <c r="A17" s="2" t="s">
        <v>136</v>
      </c>
      <c r="B17" s="10">
        <v>44659</v>
      </c>
      <c r="C17" s="2" t="s">
        <v>137</v>
      </c>
      <c r="D17" s="2" t="s">
        <v>138</v>
      </c>
      <c r="E17" s="2" t="s">
        <v>20</v>
      </c>
      <c r="F17" s="2" t="s">
        <v>3</v>
      </c>
      <c r="G17" s="2" t="s">
        <v>50</v>
      </c>
      <c r="H17" s="2" t="s">
        <v>13</v>
      </c>
      <c r="I17" s="2" t="s">
        <v>100</v>
      </c>
      <c r="J17" s="2" t="s">
        <v>134</v>
      </c>
      <c r="K17" s="2" t="s">
        <v>139</v>
      </c>
      <c r="L17" s="2">
        <v>9</v>
      </c>
      <c r="M17" s="2">
        <v>3720.32</v>
      </c>
      <c r="N17" s="2">
        <v>33482.879999999997</v>
      </c>
      <c r="O17" s="2">
        <v>11.53</v>
      </c>
      <c r="P17" s="2">
        <v>3860.58</v>
      </c>
      <c r="Q17" s="2">
        <v>29622.3</v>
      </c>
      <c r="R17" s="2" t="s">
        <v>76</v>
      </c>
      <c r="S17" s="2" t="s">
        <v>55</v>
      </c>
      <c r="T17" s="2">
        <v>19.7</v>
      </c>
      <c r="U17" s="2">
        <v>5835.59</v>
      </c>
    </row>
    <row r="18" spans="1:21" x14ac:dyDescent="0.3">
      <c r="A18" s="2" t="s">
        <v>140</v>
      </c>
      <c r="B18" s="10">
        <v>44861</v>
      </c>
      <c r="C18" s="2" t="s">
        <v>141</v>
      </c>
      <c r="D18" s="2" t="s">
        <v>142</v>
      </c>
      <c r="E18" s="2" t="s">
        <v>20</v>
      </c>
      <c r="F18" s="2" t="s">
        <v>2</v>
      </c>
      <c r="G18" s="2" t="s">
        <v>50</v>
      </c>
      <c r="H18" s="2" t="s">
        <v>14</v>
      </c>
      <c r="I18" s="2" t="s">
        <v>68</v>
      </c>
      <c r="J18" s="2" t="s">
        <v>74</v>
      </c>
      <c r="K18" s="2" t="s">
        <v>143</v>
      </c>
      <c r="L18" s="2">
        <v>6</v>
      </c>
      <c r="M18" s="2">
        <v>7344.29</v>
      </c>
      <c r="N18" s="2">
        <v>44065.74</v>
      </c>
      <c r="O18" s="2">
        <v>4.8499999999999996</v>
      </c>
      <c r="P18" s="2">
        <v>2137.19</v>
      </c>
      <c r="Q18" s="2">
        <v>41928.550000000003</v>
      </c>
      <c r="R18" s="2" t="s">
        <v>90</v>
      </c>
      <c r="S18" s="2" t="s">
        <v>63</v>
      </c>
      <c r="T18" s="2">
        <v>23.88</v>
      </c>
      <c r="U18" s="2">
        <v>10012.540000000001</v>
      </c>
    </row>
    <row r="19" spans="1:21" x14ac:dyDescent="0.3">
      <c r="A19" s="2" t="s">
        <v>144</v>
      </c>
      <c r="B19" s="10">
        <v>44789</v>
      </c>
      <c r="C19" s="2" t="s">
        <v>145</v>
      </c>
      <c r="D19" s="2" t="s">
        <v>146</v>
      </c>
      <c r="E19" s="2" t="s">
        <v>21</v>
      </c>
      <c r="F19" s="2" t="s">
        <v>3</v>
      </c>
      <c r="G19" s="2" t="s">
        <v>50</v>
      </c>
      <c r="H19" s="2" t="s">
        <v>14</v>
      </c>
      <c r="I19" s="2" t="s">
        <v>68</v>
      </c>
      <c r="J19" s="2" t="s">
        <v>69</v>
      </c>
      <c r="K19" s="2" t="s">
        <v>147</v>
      </c>
      <c r="L19" s="2">
        <v>1</v>
      </c>
      <c r="M19" s="2">
        <v>1204.32</v>
      </c>
      <c r="N19" s="2">
        <v>1204.32</v>
      </c>
      <c r="O19" s="2">
        <v>28.83</v>
      </c>
      <c r="P19" s="2">
        <v>347.21</v>
      </c>
      <c r="Q19" s="2">
        <v>857.11</v>
      </c>
      <c r="R19" s="2" t="s">
        <v>84</v>
      </c>
      <c r="S19" s="2" t="s">
        <v>77</v>
      </c>
      <c r="T19" s="2">
        <v>13.41</v>
      </c>
      <c r="U19" s="2">
        <v>114.94</v>
      </c>
    </row>
    <row r="20" spans="1:21" x14ac:dyDescent="0.3">
      <c r="A20" s="2" t="s">
        <v>148</v>
      </c>
      <c r="B20" s="10">
        <v>44864</v>
      </c>
      <c r="C20" s="2" t="s">
        <v>108</v>
      </c>
      <c r="D20" s="2" t="s">
        <v>149</v>
      </c>
      <c r="E20" s="2" t="s">
        <v>22</v>
      </c>
      <c r="F20" s="2" t="s">
        <v>5</v>
      </c>
      <c r="G20" s="2" t="s">
        <v>50</v>
      </c>
      <c r="H20" s="2" t="s">
        <v>14</v>
      </c>
      <c r="I20" s="2" t="s">
        <v>68</v>
      </c>
      <c r="J20" s="2" t="s">
        <v>69</v>
      </c>
      <c r="K20" s="2" t="s">
        <v>150</v>
      </c>
      <c r="L20" s="2">
        <v>6</v>
      </c>
      <c r="M20" s="2">
        <v>8869.7000000000007</v>
      </c>
      <c r="N20" s="2">
        <v>53218.2</v>
      </c>
      <c r="O20" s="2">
        <v>14.71</v>
      </c>
      <c r="P20" s="2">
        <v>7828.4</v>
      </c>
      <c r="Q20" s="2">
        <v>45389.8</v>
      </c>
      <c r="R20" s="2" t="s">
        <v>90</v>
      </c>
      <c r="S20" s="2" t="s">
        <v>63</v>
      </c>
      <c r="T20" s="2">
        <v>17.45</v>
      </c>
      <c r="U20" s="2">
        <v>7920.52</v>
      </c>
    </row>
    <row r="21" spans="1:21" x14ac:dyDescent="0.3">
      <c r="A21" s="2" t="s">
        <v>151</v>
      </c>
      <c r="B21" s="10">
        <v>44843</v>
      </c>
      <c r="C21" s="2" t="s">
        <v>152</v>
      </c>
      <c r="D21" s="2" t="s">
        <v>153</v>
      </c>
      <c r="E21" s="2" t="s">
        <v>21</v>
      </c>
      <c r="F21" s="2" t="s">
        <v>7</v>
      </c>
      <c r="G21" s="2" t="s">
        <v>50</v>
      </c>
      <c r="H21" s="2" t="s">
        <v>14</v>
      </c>
      <c r="I21" s="2" t="s">
        <v>68</v>
      </c>
      <c r="J21" s="2" t="s">
        <v>74</v>
      </c>
      <c r="K21" s="2" t="s">
        <v>154</v>
      </c>
      <c r="L21" s="2">
        <v>10</v>
      </c>
      <c r="M21" s="2">
        <v>7081.83</v>
      </c>
      <c r="N21" s="2">
        <v>70818.3</v>
      </c>
      <c r="O21" s="2">
        <v>14.48</v>
      </c>
      <c r="P21" s="2">
        <v>10254.49</v>
      </c>
      <c r="Q21" s="2">
        <v>60563.81</v>
      </c>
      <c r="R21" s="2" t="s">
        <v>84</v>
      </c>
      <c r="S21" s="2" t="s">
        <v>55</v>
      </c>
      <c r="T21" s="2">
        <v>20.45</v>
      </c>
      <c r="U21" s="2">
        <v>12385.3</v>
      </c>
    </row>
    <row r="22" spans="1:21" x14ac:dyDescent="0.3">
      <c r="A22" s="2" t="s">
        <v>155</v>
      </c>
      <c r="B22" s="10">
        <v>44721</v>
      </c>
      <c r="C22" s="2" t="s">
        <v>156</v>
      </c>
      <c r="D22" s="2" t="s">
        <v>157</v>
      </c>
      <c r="E22" s="2" t="s">
        <v>20</v>
      </c>
      <c r="F22" s="2" t="s">
        <v>7</v>
      </c>
      <c r="G22" s="2" t="s">
        <v>50</v>
      </c>
      <c r="H22" s="2" t="s">
        <v>13</v>
      </c>
      <c r="I22" s="2" t="s">
        <v>118</v>
      </c>
      <c r="J22" s="2" t="s">
        <v>158</v>
      </c>
      <c r="K22" s="2" t="s">
        <v>159</v>
      </c>
      <c r="L22" s="2">
        <v>5</v>
      </c>
      <c r="M22" s="2">
        <v>1435.25</v>
      </c>
      <c r="N22" s="2">
        <v>7176.25</v>
      </c>
      <c r="O22" s="2">
        <v>7.31</v>
      </c>
      <c r="P22" s="2">
        <v>524.58000000000004</v>
      </c>
      <c r="Q22" s="2">
        <v>6651.67</v>
      </c>
      <c r="R22" s="2" t="s">
        <v>90</v>
      </c>
      <c r="S22" s="2" t="s">
        <v>63</v>
      </c>
      <c r="T22" s="2">
        <v>22.52</v>
      </c>
      <c r="U22" s="2">
        <v>1497.96</v>
      </c>
    </row>
    <row r="23" spans="1:21" x14ac:dyDescent="0.3">
      <c r="A23" s="2" t="s">
        <v>160</v>
      </c>
      <c r="B23" s="10">
        <v>44771</v>
      </c>
      <c r="C23" s="2" t="s">
        <v>161</v>
      </c>
      <c r="D23" s="2" t="s">
        <v>162</v>
      </c>
      <c r="E23" s="2" t="s">
        <v>20</v>
      </c>
      <c r="F23" s="2" t="s">
        <v>4</v>
      </c>
      <c r="G23" s="2" t="s">
        <v>50</v>
      </c>
      <c r="H23" s="2" t="s">
        <v>15</v>
      </c>
      <c r="I23" s="2" t="s">
        <v>163</v>
      </c>
      <c r="J23" s="2" t="s">
        <v>164</v>
      </c>
      <c r="K23" s="2" t="s">
        <v>165</v>
      </c>
      <c r="L23" s="2">
        <v>7</v>
      </c>
      <c r="M23" s="2">
        <v>4599.62</v>
      </c>
      <c r="N23" s="2">
        <v>32197.34</v>
      </c>
      <c r="O23" s="2">
        <v>17.79</v>
      </c>
      <c r="P23" s="2">
        <v>5727.91</v>
      </c>
      <c r="Q23" s="2">
        <v>26469.43</v>
      </c>
      <c r="R23" s="2" t="s">
        <v>62</v>
      </c>
      <c r="S23" s="2" t="s">
        <v>55</v>
      </c>
      <c r="T23" s="2">
        <v>8.27</v>
      </c>
      <c r="U23" s="2">
        <v>2189.02</v>
      </c>
    </row>
    <row r="24" spans="1:21" x14ac:dyDescent="0.3">
      <c r="A24" s="2" t="s">
        <v>166</v>
      </c>
      <c r="B24" s="10">
        <v>44709</v>
      </c>
      <c r="C24" s="2" t="s">
        <v>167</v>
      </c>
      <c r="D24" s="2" t="s">
        <v>168</v>
      </c>
      <c r="E24" s="2" t="s">
        <v>21</v>
      </c>
      <c r="F24" s="2" t="s">
        <v>8</v>
      </c>
      <c r="G24" s="2" t="s">
        <v>50</v>
      </c>
      <c r="H24" s="2" t="s">
        <v>13</v>
      </c>
      <c r="I24" s="2" t="s">
        <v>81</v>
      </c>
      <c r="J24" s="2" t="s">
        <v>169</v>
      </c>
      <c r="K24" s="2" t="s">
        <v>170</v>
      </c>
      <c r="L24" s="2">
        <v>10</v>
      </c>
      <c r="M24" s="2">
        <v>9787.8799999999992</v>
      </c>
      <c r="N24" s="2">
        <v>97878.8</v>
      </c>
      <c r="O24" s="2">
        <v>27.82</v>
      </c>
      <c r="P24" s="2">
        <v>27229.88</v>
      </c>
      <c r="Q24" s="2">
        <v>70648.92</v>
      </c>
      <c r="R24" s="2" t="s">
        <v>90</v>
      </c>
      <c r="S24" s="2" t="s">
        <v>55</v>
      </c>
      <c r="T24" s="2">
        <v>13.09</v>
      </c>
      <c r="U24" s="2">
        <v>9247.94</v>
      </c>
    </row>
    <row r="25" spans="1:21" x14ac:dyDescent="0.3">
      <c r="A25" s="2" t="s">
        <v>171</v>
      </c>
      <c r="B25" s="10">
        <v>44745</v>
      </c>
      <c r="C25" s="2" t="s">
        <v>79</v>
      </c>
      <c r="D25" s="2" t="s">
        <v>172</v>
      </c>
      <c r="E25" s="2" t="s">
        <v>22</v>
      </c>
      <c r="F25" s="2" t="s">
        <v>4</v>
      </c>
      <c r="G25" s="2" t="s">
        <v>50</v>
      </c>
      <c r="H25" s="2" t="s">
        <v>13</v>
      </c>
      <c r="I25" s="2" t="s">
        <v>118</v>
      </c>
      <c r="J25" s="2" t="s">
        <v>158</v>
      </c>
      <c r="K25" s="2" t="s">
        <v>173</v>
      </c>
      <c r="L25" s="2">
        <v>5</v>
      </c>
      <c r="M25" s="2">
        <v>6682.68</v>
      </c>
      <c r="N25" s="2">
        <v>33413.4</v>
      </c>
      <c r="O25" s="2">
        <v>7.41</v>
      </c>
      <c r="P25" s="2">
        <v>2475.9299999999998</v>
      </c>
      <c r="Q25" s="2">
        <v>30937.47</v>
      </c>
      <c r="R25" s="2" t="s">
        <v>62</v>
      </c>
      <c r="S25" s="2" t="s">
        <v>77</v>
      </c>
      <c r="T25" s="2">
        <v>24.41</v>
      </c>
      <c r="U25" s="2">
        <v>7551.84</v>
      </c>
    </row>
    <row r="26" spans="1:21" x14ac:dyDescent="0.3">
      <c r="A26" s="2" t="s">
        <v>174</v>
      </c>
      <c r="B26" s="10">
        <v>44754</v>
      </c>
      <c r="C26" s="2" t="s">
        <v>175</v>
      </c>
      <c r="D26" s="2" t="s">
        <v>176</v>
      </c>
      <c r="E26" s="2" t="s">
        <v>23</v>
      </c>
      <c r="F26" s="2" t="s">
        <v>6</v>
      </c>
      <c r="G26" s="2" t="s">
        <v>50</v>
      </c>
      <c r="H26" s="2" t="s">
        <v>14</v>
      </c>
      <c r="I26" s="2" t="s">
        <v>68</v>
      </c>
      <c r="J26" s="2" t="s">
        <v>69</v>
      </c>
      <c r="K26" s="2" t="s">
        <v>177</v>
      </c>
      <c r="L26" s="2">
        <v>5</v>
      </c>
      <c r="M26" s="2">
        <v>2395.79</v>
      </c>
      <c r="N26" s="2">
        <v>11978.95</v>
      </c>
      <c r="O26" s="2">
        <v>26.16</v>
      </c>
      <c r="P26" s="2">
        <v>3133.69</v>
      </c>
      <c r="Q26" s="2">
        <v>8845.26</v>
      </c>
      <c r="R26" s="2" t="s">
        <v>62</v>
      </c>
      <c r="S26" s="2" t="s">
        <v>77</v>
      </c>
      <c r="T26" s="2">
        <v>18.829999999999998</v>
      </c>
      <c r="U26" s="2">
        <v>1665.56</v>
      </c>
    </row>
    <row r="27" spans="1:21" x14ac:dyDescent="0.3">
      <c r="A27" s="2" t="s">
        <v>178</v>
      </c>
      <c r="B27" s="10">
        <v>44773</v>
      </c>
      <c r="C27" s="2" t="s">
        <v>179</v>
      </c>
      <c r="D27" s="2" t="s">
        <v>180</v>
      </c>
      <c r="E27" s="2" t="s">
        <v>20</v>
      </c>
      <c r="F27" s="2" t="s">
        <v>5</v>
      </c>
      <c r="G27" s="2" t="s">
        <v>50</v>
      </c>
      <c r="H27" s="2" t="s">
        <v>15</v>
      </c>
      <c r="I27" s="2" t="s">
        <v>59</v>
      </c>
      <c r="J27" s="2" t="s">
        <v>60</v>
      </c>
      <c r="K27" s="2" t="s">
        <v>181</v>
      </c>
      <c r="L27" s="2">
        <v>8</v>
      </c>
      <c r="M27" s="2">
        <v>9162.5499999999993</v>
      </c>
      <c r="N27" s="2">
        <v>73300.399999999994</v>
      </c>
      <c r="O27" s="2">
        <v>28.3</v>
      </c>
      <c r="P27" s="2">
        <v>20744.009999999998</v>
      </c>
      <c r="Q27" s="2">
        <v>52556.39</v>
      </c>
      <c r="R27" s="2" t="s">
        <v>76</v>
      </c>
      <c r="S27" s="2" t="s">
        <v>55</v>
      </c>
      <c r="T27" s="2">
        <v>23.88</v>
      </c>
      <c r="U27" s="2">
        <v>12550.47</v>
      </c>
    </row>
    <row r="28" spans="1:21" x14ac:dyDescent="0.3">
      <c r="A28" s="2" t="s">
        <v>182</v>
      </c>
      <c r="B28" s="10">
        <v>44799</v>
      </c>
      <c r="C28" s="2" t="s">
        <v>183</v>
      </c>
      <c r="D28" s="2" t="s">
        <v>184</v>
      </c>
      <c r="E28" s="2" t="s">
        <v>22</v>
      </c>
      <c r="F28" s="2" t="s">
        <v>133</v>
      </c>
      <c r="G28" s="2" t="s">
        <v>50</v>
      </c>
      <c r="H28" s="2" t="s">
        <v>15</v>
      </c>
      <c r="I28" s="2" t="s">
        <v>163</v>
      </c>
      <c r="J28" s="2" t="s">
        <v>185</v>
      </c>
      <c r="K28" s="2" t="s">
        <v>186</v>
      </c>
      <c r="L28" s="2">
        <v>4</v>
      </c>
      <c r="M28" s="2">
        <v>5117.46</v>
      </c>
      <c r="N28" s="2">
        <v>20469.84</v>
      </c>
      <c r="O28" s="2">
        <v>6.43</v>
      </c>
      <c r="P28" s="2">
        <v>1316.21</v>
      </c>
      <c r="Q28" s="2">
        <v>19153.63</v>
      </c>
      <c r="R28" s="2" t="s">
        <v>62</v>
      </c>
      <c r="S28" s="2" t="s">
        <v>55</v>
      </c>
      <c r="T28" s="2">
        <v>11.15</v>
      </c>
      <c r="U28" s="2">
        <v>2135.63</v>
      </c>
    </row>
    <row r="29" spans="1:21" x14ac:dyDescent="0.3">
      <c r="A29" s="2" t="s">
        <v>187</v>
      </c>
      <c r="B29" s="10">
        <v>44592</v>
      </c>
      <c r="C29" s="2" t="s">
        <v>188</v>
      </c>
      <c r="D29" s="2" t="s">
        <v>189</v>
      </c>
      <c r="E29" s="2" t="s">
        <v>21</v>
      </c>
      <c r="F29" s="2" t="s">
        <v>8</v>
      </c>
      <c r="G29" s="2" t="s">
        <v>67</v>
      </c>
      <c r="H29" s="2" t="s">
        <v>14</v>
      </c>
      <c r="I29" s="2" t="s">
        <v>68</v>
      </c>
      <c r="J29" s="2" t="s">
        <v>69</v>
      </c>
      <c r="K29" s="2" t="s">
        <v>190</v>
      </c>
      <c r="L29" s="2">
        <v>9</v>
      </c>
      <c r="M29" s="2">
        <v>1153.32</v>
      </c>
      <c r="N29" s="2">
        <v>10379.879999999999</v>
      </c>
      <c r="O29" s="2">
        <v>10.91</v>
      </c>
      <c r="P29" s="2">
        <v>1132.44</v>
      </c>
      <c r="Q29" s="2">
        <v>9247.44</v>
      </c>
      <c r="R29" s="2" t="s">
        <v>54</v>
      </c>
      <c r="S29" s="2" t="s">
        <v>63</v>
      </c>
      <c r="T29" s="2">
        <v>22.58</v>
      </c>
      <c r="U29" s="2">
        <v>2088.0700000000002</v>
      </c>
    </row>
    <row r="30" spans="1:21" x14ac:dyDescent="0.3">
      <c r="A30" s="2" t="s">
        <v>191</v>
      </c>
      <c r="B30" s="10">
        <v>44697</v>
      </c>
      <c r="C30" s="2" t="s">
        <v>192</v>
      </c>
      <c r="D30" s="2" t="s">
        <v>193</v>
      </c>
      <c r="E30" s="2" t="s">
        <v>20</v>
      </c>
      <c r="F30" s="2" t="s">
        <v>99</v>
      </c>
      <c r="G30" s="2" t="s">
        <v>50</v>
      </c>
      <c r="H30" s="2" t="s">
        <v>15</v>
      </c>
      <c r="I30" s="2" t="s">
        <v>163</v>
      </c>
      <c r="J30" s="2" t="s">
        <v>164</v>
      </c>
      <c r="K30" s="2" t="s">
        <v>194</v>
      </c>
      <c r="L30" s="2">
        <v>1</v>
      </c>
      <c r="M30" s="2">
        <v>8261.89</v>
      </c>
      <c r="N30" s="2">
        <v>8261.89</v>
      </c>
      <c r="O30" s="2">
        <v>9.57</v>
      </c>
      <c r="P30" s="2">
        <v>790.66</v>
      </c>
      <c r="Q30" s="2">
        <v>7471.23</v>
      </c>
      <c r="R30" s="2" t="s">
        <v>62</v>
      </c>
      <c r="S30" s="2" t="s">
        <v>77</v>
      </c>
      <c r="T30" s="2">
        <v>16.47</v>
      </c>
      <c r="U30" s="2">
        <v>1230.51</v>
      </c>
    </row>
    <row r="31" spans="1:21" x14ac:dyDescent="0.3">
      <c r="A31" s="2" t="s">
        <v>195</v>
      </c>
      <c r="B31" s="10">
        <v>44809</v>
      </c>
      <c r="C31" s="2" t="s">
        <v>196</v>
      </c>
      <c r="D31" s="2" t="s">
        <v>197</v>
      </c>
      <c r="E31" s="2" t="s">
        <v>21</v>
      </c>
      <c r="F31" s="2" t="s">
        <v>9</v>
      </c>
      <c r="G31" s="2" t="s">
        <v>50</v>
      </c>
      <c r="H31" s="2" t="s">
        <v>14</v>
      </c>
      <c r="I31" s="2" t="s">
        <v>198</v>
      </c>
      <c r="J31" s="2" t="s">
        <v>199</v>
      </c>
      <c r="K31" s="2" t="s">
        <v>200</v>
      </c>
      <c r="L31" s="2">
        <v>1</v>
      </c>
      <c r="M31" s="2">
        <v>740.08</v>
      </c>
      <c r="N31" s="2">
        <v>740.08</v>
      </c>
      <c r="O31" s="2">
        <v>27.41</v>
      </c>
      <c r="P31" s="2">
        <v>202.86</v>
      </c>
      <c r="Q31" s="2">
        <v>537.22</v>
      </c>
      <c r="R31" s="2" t="s">
        <v>54</v>
      </c>
      <c r="S31" s="2" t="s">
        <v>63</v>
      </c>
      <c r="T31" s="2">
        <v>11.47</v>
      </c>
      <c r="U31" s="2">
        <v>61.62</v>
      </c>
    </row>
    <row r="32" spans="1:21" x14ac:dyDescent="0.3">
      <c r="A32" s="2" t="s">
        <v>201</v>
      </c>
      <c r="B32" s="10">
        <v>44795</v>
      </c>
      <c r="C32" s="2" t="s">
        <v>202</v>
      </c>
      <c r="D32" s="2" t="s">
        <v>203</v>
      </c>
      <c r="E32" s="2" t="s">
        <v>22</v>
      </c>
      <c r="F32" s="2" t="s">
        <v>6</v>
      </c>
      <c r="G32" s="2" t="s">
        <v>50</v>
      </c>
      <c r="H32" s="2" t="s">
        <v>14</v>
      </c>
      <c r="I32" s="2" t="s">
        <v>68</v>
      </c>
      <c r="J32" s="2" t="s">
        <v>204</v>
      </c>
      <c r="K32" s="2" t="s">
        <v>205</v>
      </c>
      <c r="L32" s="2">
        <v>9</v>
      </c>
      <c r="M32" s="2">
        <v>6754.4</v>
      </c>
      <c r="N32" s="2">
        <v>60789.599999999999</v>
      </c>
      <c r="O32" s="2">
        <v>22.18</v>
      </c>
      <c r="P32" s="2">
        <v>13483.13</v>
      </c>
      <c r="Q32" s="2">
        <v>47306.47</v>
      </c>
      <c r="R32" s="2" t="s">
        <v>84</v>
      </c>
      <c r="S32" s="2" t="s">
        <v>55</v>
      </c>
      <c r="T32" s="2">
        <v>21.93</v>
      </c>
      <c r="U32" s="2">
        <v>10374.31</v>
      </c>
    </row>
    <row r="33" spans="1:21" x14ac:dyDescent="0.3">
      <c r="A33" s="2" t="s">
        <v>206</v>
      </c>
      <c r="B33" s="10">
        <v>44578</v>
      </c>
      <c r="C33" s="2" t="s">
        <v>207</v>
      </c>
      <c r="D33" s="2" t="s">
        <v>208</v>
      </c>
      <c r="E33" s="2" t="s">
        <v>22</v>
      </c>
      <c r="F33" s="2" t="s">
        <v>5</v>
      </c>
      <c r="G33" s="2" t="s">
        <v>67</v>
      </c>
      <c r="H33" s="2" t="s">
        <v>14</v>
      </c>
      <c r="I33" s="2" t="s">
        <v>68</v>
      </c>
      <c r="J33" s="2" t="s">
        <v>69</v>
      </c>
      <c r="K33" s="2" t="s">
        <v>209</v>
      </c>
      <c r="L33" s="2">
        <v>10</v>
      </c>
      <c r="M33" s="2">
        <v>6428.28</v>
      </c>
      <c r="N33" s="2">
        <v>64282.8</v>
      </c>
      <c r="O33" s="2">
        <v>5.51</v>
      </c>
      <c r="P33" s="2">
        <v>3541.98</v>
      </c>
      <c r="Q33" s="2">
        <v>60740.82</v>
      </c>
      <c r="R33" s="2" t="s">
        <v>54</v>
      </c>
      <c r="S33" s="2" t="s">
        <v>77</v>
      </c>
      <c r="T33" s="2">
        <v>13.41</v>
      </c>
      <c r="U33" s="2">
        <v>8145.34</v>
      </c>
    </row>
    <row r="34" spans="1:21" x14ac:dyDescent="0.3">
      <c r="A34" s="2" t="s">
        <v>210</v>
      </c>
      <c r="B34" s="10">
        <v>44721</v>
      </c>
      <c r="C34" s="2" t="s">
        <v>211</v>
      </c>
      <c r="D34" s="2" t="s">
        <v>212</v>
      </c>
      <c r="E34" s="2" t="s">
        <v>23</v>
      </c>
      <c r="F34" s="2" t="s">
        <v>8</v>
      </c>
      <c r="G34" s="2" t="s">
        <v>67</v>
      </c>
      <c r="H34" s="2" t="s">
        <v>15</v>
      </c>
      <c r="I34" s="2" t="s">
        <v>59</v>
      </c>
      <c r="J34" s="2" t="s">
        <v>128</v>
      </c>
      <c r="K34" s="2" t="s">
        <v>213</v>
      </c>
      <c r="L34" s="2">
        <v>7</v>
      </c>
      <c r="M34" s="2">
        <v>9226.5</v>
      </c>
      <c r="N34" s="2">
        <v>64585.5</v>
      </c>
      <c r="O34" s="2">
        <v>26.7</v>
      </c>
      <c r="P34" s="2">
        <v>17244.330000000002</v>
      </c>
      <c r="Q34" s="2">
        <v>47341.17</v>
      </c>
      <c r="R34" s="2" t="s">
        <v>84</v>
      </c>
      <c r="S34" s="2" t="s">
        <v>63</v>
      </c>
      <c r="T34" s="2">
        <v>13.71</v>
      </c>
      <c r="U34" s="2">
        <v>6490.47</v>
      </c>
    </row>
    <row r="35" spans="1:21" x14ac:dyDescent="0.3">
      <c r="A35" s="2" t="s">
        <v>214</v>
      </c>
      <c r="B35" s="10">
        <v>44625</v>
      </c>
      <c r="C35" s="2" t="s">
        <v>215</v>
      </c>
      <c r="D35" s="2" t="s">
        <v>216</v>
      </c>
      <c r="E35" s="2" t="s">
        <v>21</v>
      </c>
      <c r="F35" s="2" t="s">
        <v>5</v>
      </c>
      <c r="G35" s="2" t="s">
        <v>67</v>
      </c>
      <c r="H35" s="2" t="s">
        <v>13</v>
      </c>
      <c r="I35" s="2" t="s">
        <v>100</v>
      </c>
      <c r="J35" s="2" t="s">
        <v>134</v>
      </c>
      <c r="K35" s="2" t="s">
        <v>217</v>
      </c>
      <c r="L35" s="2">
        <v>8</v>
      </c>
      <c r="M35" s="2">
        <v>2357.65</v>
      </c>
      <c r="N35" s="2">
        <v>18861.2</v>
      </c>
      <c r="O35" s="2">
        <v>17.75</v>
      </c>
      <c r="P35" s="2">
        <v>3347.86</v>
      </c>
      <c r="Q35" s="2">
        <v>15513.34</v>
      </c>
      <c r="R35" s="2" t="s">
        <v>62</v>
      </c>
      <c r="S35" s="2" t="s">
        <v>55</v>
      </c>
      <c r="T35" s="2">
        <v>22.59</v>
      </c>
      <c r="U35" s="2">
        <v>3504.46</v>
      </c>
    </row>
    <row r="36" spans="1:21" x14ac:dyDescent="0.3">
      <c r="A36" s="2" t="s">
        <v>218</v>
      </c>
      <c r="B36" s="10">
        <v>44688</v>
      </c>
      <c r="C36" s="2" t="s">
        <v>156</v>
      </c>
      <c r="D36" s="2" t="s">
        <v>219</v>
      </c>
      <c r="E36" s="2" t="s">
        <v>23</v>
      </c>
      <c r="F36" s="2" t="s">
        <v>4</v>
      </c>
      <c r="G36" s="2" t="s">
        <v>50</v>
      </c>
      <c r="H36" s="2" t="s">
        <v>13</v>
      </c>
      <c r="I36" s="2" t="s">
        <v>81</v>
      </c>
      <c r="J36" s="2" t="s">
        <v>169</v>
      </c>
      <c r="K36" s="2" t="s">
        <v>220</v>
      </c>
      <c r="L36" s="2">
        <v>5</v>
      </c>
      <c r="M36" s="2">
        <v>5115.55</v>
      </c>
      <c r="N36" s="2">
        <v>25577.75</v>
      </c>
      <c r="O36" s="2">
        <v>1.62</v>
      </c>
      <c r="P36" s="2">
        <v>414.36</v>
      </c>
      <c r="Q36" s="2">
        <v>25163.39</v>
      </c>
      <c r="R36" s="2" t="s">
        <v>84</v>
      </c>
      <c r="S36" s="2" t="s">
        <v>77</v>
      </c>
      <c r="T36" s="2">
        <v>15.39</v>
      </c>
      <c r="U36" s="2">
        <v>3872.65</v>
      </c>
    </row>
    <row r="37" spans="1:21" x14ac:dyDescent="0.3">
      <c r="A37" s="2" t="s">
        <v>221</v>
      </c>
      <c r="B37" s="10">
        <v>44724</v>
      </c>
      <c r="C37" s="2" t="s">
        <v>161</v>
      </c>
      <c r="D37" s="2" t="s">
        <v>222</v>
      </c>
      <c r="E37" s="2" t="s">
        <v>22</v>
      </c>
      <c r="F37" s="2" t="s">
        <v>99</v>
      </c>
      <c r="G37" s="2" t="s">
        <v>50</v>
      </c>
      <c r="H37" s="2" t="s">
        <v>14</v>
      </c>
      <c r="I37" s="2" t="s">
        <v>68</v>
      </c>
      <c r="J37" s="2" t="s">
        <v>204</v>
      </c>
      <c r="K37" s="2" t="s">
        <v>223</v>
      </c>
      <c r="L37" s="2">
        <v>2</v>
      </c>
      <c r="M37" s="2">
        <v>8620.01</v>
      </c>
      <c r="N37" s="2">
        <v>17240.02</v>
      </c>
      <c r="O37" s="2">
        <v>27.68</v>
      </c>
      <c r="P37" s="2">
        <v>4772.04</v>
      </c>
      <c r="Q37" s="2">
        <v>12467.98</v>
      </c>
      <c r="R37" s="2" t="s">
        <v>90</v>
      </c>
      <c r="S37" s="2" t="s">
        <v>77</v>
      </c>
      <c r="T37" s="2">
        <v>24.35</v>
      </c>
      <c r="U37" s="2">
        <v>3035.95</v>
      </c>
    </row>
    <row r="38" spans="1:21" x14ac:dyDescent="0.3">
      <c r="A38" s="2" t="s">
        <v>224</v>
      </c>
      <c r="B38" s="10">
        <v>44816</v>
      </c>
      <c r="C38" s="2" t="s">
        <v>225</v>
      </c>
      <c r="D38" s="2" t="s">
        <v>226</v>
      </c>
      <c r="E38" s="2" t="s">
        <v>21</v>
      </c>
      <c r="F38" s="2" t="s">
        <v>99</v>
      </c>
      <c r="G38" s="2" t="s">
        <v>50</v>
      </c>
      <c r="H38" s="2" t="s">
        <v>13</v>
      </c>
      <c r="I38" s="2" t="s">
        <v>118</v>
      </c>
      <c r="J38" s="2" t="s">
        <v>227</v>
      </c>
      <c r="K38" s="2" t="s">
        <v>228</v>
      </c>
      <c r="L38" s="2">
        <v>2</v>
      </c>
      <c r="M38" s="2">
        <v>7572.25</v>
      </c>
      <c r="N38" s="2">
        <v>15144.5</v>
      </c>
      <c r="O38" s="2">
        <v>13.55</v>
      </c>
      <c r="P38" s="2">
        <v>2052.08</v>
      </c>
      <c r="Q38" s="2">
        <v>13092.42</v>
      </c>
      <c r="R38" s="2" t="s">
        <v>54</v>
      </c>
      <c r="S38" s="2" t="s">
        <v>55</v>
      </c>
      <c r="T38" s="2">
        <v>7.04</v>
      </c>
      <c r="U38" s="2">
        <v>921.71</v>
      </c>
    </row>
    <row r="39" spans="1:21" x14ac:dyDescent="0.3">
      <c r="A39" s="2" t="s">
        <v>229</v>
      </c>
      <c r="B39" s="10">
        <v>44864</v>
      </c>
      <c r="C39" s="2" t="s">
        <v>230</v>
      </c>
      <c r="D39" s="2" t="s">
        <v>231</v>
      </c>
      <c r="E39" s="2" t="s">
        <v>22</v>
      </c>
      <c r="F39" s="2" t="s">
        <v>6</v>
      </c>
      <c r="G39" s="2" t="s">
        <v>50</v>
      </c>
      <c r="H39" s="2" t="s">
        <v>15</v>
      </c>
      <c r="I39" s="2" t="s">
        <v>59</v>
      </c>
      <c r="J39" s="2" t="s">
        <v>60</v>
      </c>
      <c r="K39" s="2" t="s">
        <v>232</v>
      </c>
      <c r="L39" s="2">
        <v>2</v>
      </c>
      <c r="M39" s="2">
        <v>2790.41</v>
      </c>
      <c r="N39" s="2">
        <v>5580.82</v>
      </c>
      <c r="O39" s="2">
        <v>21.62</v>
      </c>
      <c r="P39" s="2">
        <v>1206.57</v>
      </c>
      <c r="Q39" s="2">
        <v>4374.25</v>
      </c>
      <c r="R39" s="2" t="s">
        <v>62</v>
      </c>
      <c r="S39" s="2" t="s">
        <v>77</v>
      </c>
      <c r="T39" s="2">
        <v>17.77</v>
      </c>
      <c r="U39" s="2">
        <v>777.3</v>
      </c>
    </row>
    <row r="40" spans="1:21" x14ac:dyDescent="0.3">
      <c r="A40" s="2" t="s">
        <v>233</v>
      </c>
      <c r="B40" s="10">
        <v>44563</v>
      </c>
      <c r="C40" s="2" t="s">
        <v>234</v>
      </c>
      <c r="D40" s="2" t="s">
        <v>235</v>
      </c>
      <c r="E40" s="2" t="s">
        <v>20</v>
      </c>
      <c r="F40" s="2" t="s">
        <v>6</v>
      </c>
      <c r="G40" s="2" t="s">
        <v>50</v>
      </c>
      <c r="H40" s="2" t="s">
        <v>13</v>
      </c>
      <c r="I40" s="2" t="s">
        <v>100</v>
      </c>
      <c r="J40" s="2" t="s">
        <v>236</v>
      </c>
      <c r="K40" s="2" t="s">
        <v>237</v>
      </c>
      <c r="L40" s="2">
        <v>4</v>
      </c>
      <c r="M40" s="2">
        <v>6139.29</v>
      </c>
      <c r="N40" s="2">
        <v>24557.16</v>
      </c>
      <c r="O40" s="2">
        <v>16.22</v>
      </c>
      <c r="P40" s="2">
        <v>3983.17</v>
      </c>
      <c r="Q40" s="2">
        <v>20573.990000000002</v>
      </c>
      <c r="R40" s="2" t="s">
        <v>90</v>
      </c>
      <c r="S40" s="2" t="s">
        <v>63</v>
      </c>
      <c r="T40" s="2">
        <v>16.489999999999998</v>
      </c>
      <c r="U40" s="2">
        <v>3392.65</v>
      </c>
    </row>
    <row r="41" spans="1:21" x14ac:dyDescent="0.3">
      <c r="A41" s="2" t="s">
        <v>238</v>
      </c>
      <c r="B41" s="10">
        <v>44903</v>
      </c>
      <c r="C41" s="2" t="s">
        <v>239</v>
      </c>
      <c r="D41" s="2" t="s">
        <v>240</v>
      </c>
      <c r="E41" s="2" t="s">
        <v>20</v>
      </c>
      <c r="F41" s="2" t="s">
        <v>5</v>
      </c>
      <c r="G41" s="2" t="s">
        <v>50</v>
      </c>
      <c r="H41" s="2" t="s">
        <v>15</v>
      </c>
      <c r="I41" s="2" t="s">
        <v>163</v>
      </c>
      <c r="J41" s="2" t="s">
        <v>241</v>
      </c>
      <c r="K41" s="2" t="s">
        <v>242</v>
      </c>
      <c r="L41" s="2">
        <v>10</v>
      </c>
      <c r="M41" s="2">
        <v>9165.19</v>
      </c>
      <c r="N41" s="2">
        <v>91651.9</v>
      </c>
      <c r="O41" s="2">
        <v>16.670000000000002</v>
      </c>
      <c r="P41" s="2">
        <v>15278.37</v>
      </c>
      <c r="Q41" s="2">
        <v>76373.53</v>
      </c>
      <c r="R41" s="2" t="s">
        <v>90</v>
      </c>
      <c r="S41" s="2" t="s">
        <v>63</v>
      </c>
      <c r="T41" s="2">
        <v>7.07</v>
      </c>
      <c r="U41" s="2">
        <v>5399.61</v>
      </c>
    </row>
    <row r="42" spans="1:21" x14ac:dyDescent="0.3">
      <c r="A42" s="2" t="s">
        <v>243</v>
      </c>
      <c r="B42" s="10">
        <v>44926</v>
      </c>
      <c r="C42" s="2" t="s">
        <v>244</v>
      </c>
      <c r="D42" s="2" t="s">
        <v>245</v>
      </c>
      <c r="E42" s="2" t="s">
        <v>22</v>
      </c>
      <c r="F42" s="2" t="s">
        <v>8</v>
      </c>
      <c r="G42" s="2" t="s">
        <v>50</v>
      </c>
      <c r="H42" s="2" t="s">
        <v>14</v>
      </c>
      <c r="I42" s="2" t="s">
        <v>68</v>
      </c>
      <c r="J42" s="2" t="s">
        <v>204</v>
      </c>
      <c r="K42" s="2" t="s">
        <v>246</v>
      </c>
      <c r="L42" s="2">
        <v>6</v>
      </c>
      <c r="M42" s="2">
        <v>3378.16</v>
      </c>
      <c r="N42" s="2">
        <v>20268.96</v>
      </c>
      <c r="O42" s="2">
        <v>25.08</v>
      </c>
      <c r="P42" s="2">
        <v>5083.46</v>
      </c>
      <c r="Q42" s="2">
        <v>15185.5</v>
      </c>
      <c r="R42" s="2" t="s">
        <v>90</v>
      </c>
      <c r="S42" s="2" t="s">
        <v>55</v>
      </c>
      <c r="T42" s="2">
        <v>10.09</v>
      </c>
      <c r="U42" s="2">
        <v>1532.22</v>
      </c>
    </row>
    <row r="43" spans="1:21" x14ac:dyDescent="0.3">
      <c r="A43" s="2" t="s">
        <v>247</v>
      </c>
      <c r="B43" s="10">
        <v>44608</v>
      </c>
      <c r="C43" s="2" t="s">
        <v>152</v>
      </c>
      <c r="D43" s="2" t="s">
        <v>248</v>
      </c>
      <c r="E43" s="2" t="s">
        <v>23</v>
      </c>
      <c r="F43" s="2" t="s">
        <v>2</v>
      </c>
      <c r="G43" s="2" t="s">
        <v>67</v>
      </c>
      <c r="H43" s="2" t="s">
        <v>13</v>
      </c>
      <c r="I43" s="2" t="s">
        <v>81</v>
      </c>
      <c r="J43" s="2" t="s">
        <v>169</v>
      </c>
      <c r="K43" s="2" t="s">
        <v>249</v>
      </c>
      <c r="L43" s="2">
        <v>3</v>
      </c>
      <c r="M43" s="2">
        <v>5816.26</v>
      </c>
      <c r="N43" s="2">
        <v>17448.78</v>
      </c>
      <c r="O43" s="2">
        <v>15.3</v>
      </c>
      <c r="P43" s="2">
        <v>2669.66</v>
      </c>
      <c r="Q43" s="2">
        <v>14779.12</v>
      </c>
      <c r="R43" s="2" t="s">
        <v>62</v>
      </c>
      <c r="S43" s="2" t="s">
        <v>77</v>
      </c>
      <c r="T43" s="2">
        <v>9.9600000000000009</v>
      </c>
      <c r="U43" s="2">
        <v>1472</v>
      </c>
    </row>
    <row r="44" spans="1:21" x14ac:dyDescent="0.3">
      <c r="A44" s="2" t="s">
        <v>250</v>
      </c>
      <c r="B44" s="10">
        <v>44754</v>
      </c>
      <c r="C44" s="2" t="s">
        <v>251</v>
      </c>
      <c r="D44" s="2" t="s">
        <v>252</v>
      </c>
      <c r="E44" s="2" t="s">
        <v>22</v>
      </c>
      <c r="F44" s="2" t="s">
        <v>2</v>
      </c>
      <c r="G44" s="2" t="s">
        <v>67</v>
      </c>
      <c r="H44" s="2" t="s">
        <v>13</v>
      </c>
      <c r="I44" s="2" t="s">
        <v>100</v>
      </c>
      <c r="J44" s="2" t="s">
        <v>134</v>
      </c>
      <c r="K44" s="2" t="s">
        <v>253</v>
      </c>
      <c r="L44" s="2">
        <v>7</v>
      </c>
      <c r="M44" s="2">
        <v>996.65</v>
      </c>
      <c r="N44" s="2">
        <v>6976.55</v>
      </c>
      <c r="O44" s="2">
        <v>8.4700000000000006</v>
      </c>
      <c r="P44" s="2">
        <v>590.91</v>
      </c>
      <c r="Q44" s="2">
        <v>6385.64</v>
      </c>
      <c r="R44" s="2" t="s">
        <v>90</v>
      </c>
      <c r="S44" s="2" t="s">
        <v>77</v>
      </c>
      <c r="T44" s="2">
        <v>20.83</v>
      </c>
      <c r="U44" s="2">
        <v>1330.13</v>
      </c>
    </row>
    <row r="45" spans="1:21" x14ac:dyDescent="0.3">
      <c r="A45" s="2" t="s">
        <v>254</v>
      </c>
      <c r="B45" s="10">
        <v>44801</v>
      </c>
      <c r="C45" s="2" t="s">
        <v>152</v>
      </c>
      <c r="D45" s="2" t="s">
        <v>255</v>
      </c>
      <c r="E45" s="2" t="s">
        <v>20</v>
      </c>
      <c r="F45" s="2" t="s">
        <v>6</v>
      </c>
      <c r="G45" s="2" t="s">
        <v>50</v>
      </c>
      <c r="H45" s="2" t="s">
        <v>14</v>
      </c>
      <c r="I45" s="2" t="s">
        <v>198</v>
      </c>
      <c r="J45" s="2" t="s">
        <v>199</v>
      </c>
      <c r="K45" s="2" t="s">
        <v>256</v>
      </c>
      <c r="L45" s="2">
        <v>8</v>
      </c>
      <c r="M45" s="2">
        <v>9746.09</v>
      </c>
      <c r="N45" s="2">
        <v>77968.72</v>
      </c>
      <c r="O45" s="2">
        <v>23.68</v>
      </c>
      <c r="P45" s="2">
        <v>18462.990000000002</v>
      </c>
      <c r="Q45" s="2">
        <v>59505.73</v>
      </c>
      <c r="R45" s="2" t="s">
        <v>84</v>
      </c>
      <c r="S45" s="2" t="s">
        <v>77</v>
      </c>
      <c r="T45" s="2">
        <v>13.66</v>
      </c>
      <c r="U45" s="2">
        <v>8128.48</v>
      </c>
    </row>
    <row r="46" spans="1:21" x14ac:dyDescent="0.3">
      <c r="A46" s="2" t="s">
        <v>257</v>
      </c>
      <c r="B46" s="10">
        <v>44862</v>
      </c>
      <c r="C46" s="2" t="s">
        <v>258</v>
      </c>
      <c r="D46" s="2" t="s">
        <v>259</v>
      </c>
      <c r="E46" s="2" t="s">
        <v>20</v>
      </c>
      <c r="F46" s="2" t="s">
        <v>9</v>
      </c>
      <c r="G46" s="2" t="s">
        <v>67</v>
      </c>
      <c r="H46" s="2" t="s">
        <v>15</v>
      </c>
      <c r="I46" s="2" t="s">
        <v>59</v>
      </c>
      <c r="J46" s="2" t="s">
        <v>17</v>
      </c>
      <c r="K46" s="2" t="s">
        <v>260</v>
      </c>
      <c r="L46" s="2">
        <v>5</v>
      </c>
      <c r="M46" s="2">
        <v>7805.65</v>
      </c>
      <c r="N46" s="2">
        <v>39028.25</v>
      </c>
      <c r="O46" s="2">
        <v>24.03</v>
      </c>
      <c r="P46" s="2">
        <v>9378.49</v>
      </c>
      <c r="Q46" s="2">
        <v>29649.759999999998</v>
      </c>
      <c r="R46" s="2" t="s">
        <v>84</v>
      </c>
      <c r="S46" s="2" t="s">
        <v>55</v>
      </c>
      <c r="T46" s="2">
        <v>14.65</v>
      </c>
      <c r="U46" s="2">
        <v>4343.6899999999996</v>
      </c>
    </row>
    <row r="47" spans="1:21" x14ac:dyDescent="0.3">
      <c r="A47" s="2" t="s">
        <v>261</v>
      </c>
      <c r="B47" s="10">
        <v>44686</v>
      </c>
      <c r="C47" s="2" t="s">
        <v>262</v>
      </c>
      <c r="D47" s="2" t="s">
        <v>263</v>
      </c>
      <c r="E47" s="2" t="s">
        <v>23</v>
      </c>
      <c r="F47" s="2" t="s">
        <v>3</v>
      </c>
      <c r="G47" s="2" t="s">
        <v>67</v>
      </c>
      <c r="H47" s="2" t="s">
        <v>15</v>
      </c>
      <c r="I47" s="2" t="s">
        <v>59</v>
      </c>
      <c r="J47" s="2" t="s">
        <v>128</v>
      </c>
      <c r="K47" s="2" t="s">
        <v>264</v>
      </c>
      <c r="L47" s="2">
        <v>7</v>
      </c>
      <c r="M47" s="2">
        <v>505.17</v>
      </c>
      <c r="N47" s="2">
        <v>3536.19</v>
      </c>
      <c r="O47" s="2">
        <v>19.649999999999999</v>
      </c>
      <c r="P47" s="2">
        <v>694.86</v>
      </c>
      <c r="Q47" s="2">
        <v>2841.33</v>
      </c>
      <c r="R47" s="2" t="s">
        <v>76</v>
      </c>
      <c r="S47" s="2" t="s">
        <v>77</v>
      </c>
      <c r="T47" s="2">
        <v>7.06</v>
      </c>
      <c r="U47" s="2">
        <v>200.6</v>
      </c>
    </row>
    <row r="48" spans="1:21" x14ac:dyDescent="0.3">
      <c r="A48" s="2" t="s">
        <v>265</v>
      </c>
      <c r="B48" s="10">
        <v>44709</v>
      </c>
      <c r="C48" s="2" t="s">
        <v>266</v>
      </c>
      <c r="D48" s="2" t="s">
        <v>267</v>
      </c>
      <c r="E48" s="2" t="s">
        <v>21</v>
      </c>
      <c r="F48" s="2" t="s">
        <v>7</v>
      </c>
      <c r="G48" s="2" t="s">
        <v>50</v>
      </c>
      <c r="H48" s="2" t="s">
        <v>13</v>
      </c>
      <c r="I48" s="2" t="s">
        <v>81</v>
      </c>
      <c r="J48" s="2" t="s">
        <v>94</v>
      </c>
      <c r="K48" s="2" t="s">
        <v>268</v>
      </c>
      <c r="L48" s="2">
        <v>8</v>
      </c>
      <c r="M48" s="2">
        <v>6665.97</v>
      </c>
      <c r="N48" s="2">
        <v>53327.76</v>
      </c>
      <c r="O48" s="2">
        <v>18.510000000000002</v>
      </c>
      <c r="P48" s="2">
        <v>9870.9699999999993</v>
      </c>
      <c r="Q48" s="2">
        <v>43456.79</v>
      </c>
      <c r="R48" s="2" t="s">
        <v>84</v>
      </c>
      <c r="S48" s="2" t="s">
        <v>63</v>
      </c>
      <c r="T48" s="2">
        <v>14.03</v>
      </c>
      <c r="U48" s="2">
        <v>6096.99</v>
      </c>
    </row>
    <row r="49" spans="1:21" x14ac:dyDescent="0.3">
      <c r="A49" s="2" t="s">
        <v>269</v>
      </c>
      <c r="B49" s="10">
        <v>44727</v>
      </c>
      <c r="C49" s="2" t="s">
        <v>270</v>
      </c>
      <c r="D49" s="2" t="s">
        <v>271</v>
      </c>
      <c r="E49" s="2" t="s">
        <v>23</v>
      </c>
      <c r="F49" s="2" t="s">
        <v>2</v>
      </c>
      <c r="G49" s="2" t="s">
        <v>50</v>
      </c>
      <c r="H49" s="2" t="s">
        <v>14</v>
      </c>
      <c r="I49" s="2" t="s">
        <v>51</v>
      </c>
      <c r="J49" s="2" t="s">
        <v>52</v>
      </c>
      <c r="K49" s="2" t="s">
        <v>272</v>
      </c>
      <c r="L49" s="2">
        <v>5</v>
      </c>
      <c r="M49" s="2">
        <v>3986.92</v>
      </c>
      <c r="N49" s="2">
        <v>19934.599999999999</v>
      </c>
      <c r="O49" s="2">
        <v>23.24</v>
      </c>
      <c r="P49" s="2">
        <v>4632.8</v>
      </c>
      <c r="Q49" s="2">
        <v>15301.8</v>
      </c>
      <c r="R49" s="2" t="s">
        <v>62</v>
      </c>
      <c r="S49" s="2" t="s">
        <v>77</v>
      </c>
      <c r="T49" s="2">
        <v>5.62</v>
      </c>
      <c r="U49" s="2">
        <v>859.96</v>
      </c>
    </row>
    <row r="50" spans="1:21" x14ac:dyDescent="0.3">
      <c r="A50" s="2" t="s">
        <v>273</v>
      </c>
      <c r="B50" s="10">
        <v>44755</v>
      </c>
      <c r="C50" s="2" t="s">
        <v>230</v>
      </c>
      <c r="D50" s="2" t="s">
        <v>274</v>
      </c>
      <c r="E50" s="2" t="s">
        <v>23</v>
      </c>
      <c r="F50" s="2" t="s">
        <v>8</v>
      </c>
      <c r="G50" s="2" t="s">
        <v>50</v>
      </c>
      <c r="H50" s="2" t="s">
        <v>13</v>
      </c>
      <c r="I50" s="2" t="s">
        <v>81</v>
      </c>
      <c r="J50" s="2" t="s">
        <v>94</v>
      </c>
      <c r="K50" s="2" t="s">
        <v>275</v>
      </c>
      <c r="L50" s="2">
        <v>9</v>
      </c>
      <c r="M50" s="2">
        <v>534.26</v>
      </c>
      <c r="N50" s="2">
        <v>4808.34</v>
      </c>
      <c r="O50" s="2">
        <v>20.05</v>
      </c>
      <c r="P50" s="2">
        <v>964.07</v>
      </c>
      <c r="Q50" s="2">
        <v>3844.27</v>
      </c>
      <c r="R50" s="2" t="s">
        <v>62</v>
      </c>
      <c r="S50" s="2" t="s">
        <v>77</v>
      </c>
      <c r="T50" s="2">
        <v>19.75</v>
      </c>
      <c r="U50" s="2">
        <v>759.24</v>
      </c>
    </row>
    <row r="51" spans="1:21" x14ac:dyDescent="0.3">
      <c r="A51" s="2" t="s">
        <v>276</v>
      </c>
      <c r="B51" s="10">
        <v>44849</v>
      </c>
      <c r="C51" s="2" t="s">
        <v>277</v>
      </c>
      <c r="D51" s="2" t="s">
        <v>278</v>
      </c>
      <c r="E51" s="2" t="s">
        <v>20</v>
      </c>
      <c r="F51" s="2" t="s">
        <v>6</v>
      </c>
      <c r="G51" s="2" t="s">
        <v>67</v>
      </c>
      <c r="H51" s="2" t="s">
        <v>14</v>
      </c>
      <c r="I51" s="2" t="s">
        <v>198</v>
      </c>
      <c r="J51" s="2" t="s">
        <v>18</v>
      </c>
      <c r="K51" s="2" t="s">
        <v>279</v>
      </c>
      <c r="L51" s="2">
        <v>5</v>
      </c>
      <c r="M51" s="2">
        <v>9506.84</v>
      </c>
      <c r="N51" s="2">
        <v>47534.2</v>
      </c>
      <c r="O51" s="2">
        <v>21.67</v>
      </c>
      <c r="P51" s="2">
        <v>10300.66</v>
      </c>
      <c r="Q51" s="2">
        <v>37233.54</v>
      </c>
      <c r="R51" s="2" t="s">
        <v>54</v>
      </c>
      <c r="S51" s="2" t="s">
        <v>55</v>
      </c>
      <c r="T51" s="2">
        <v>6.15</v>
      </c>
      <c r="U51" s="2">
        <v>2289.86</v>
      </c>
    </row>
    <row r="52" spans="1:21" x14ac:dyDescent="0.3">
      <c r="A52" s="2" t="s">
        <v>280</v>
      </c>
      <c r="B52" s="10">
        <v>44880</v>
      </c>
      <c r="C52" s="2" t="s">
        <v>281</v>
      </c>
      <c r="D52" s="2" t="s">
        <v>282</v>
      </c>
      <c r="E52" s="2" t="s">
        <v>23</v>
      </c>
      <c r="F52" s="2" t="s">
        <v>6</v>
      </c>
      <c r="G52" s="2" t="s">
        <v>67</v>
      </c>
      <c r="H52" s="2" t="s">
        <v>14</v>
      </c>
      <c r="I52" s="2" t="s">
        <v>198</v>
      </c>
      <c r="J52" s="2" t="s">
        <v>18</v>
      </c>
      <c r="K52" s="2" t="s">
        <v>283</v>
      </c>
      <c r="L52" s="2">
        <v>10</v>
      </c>
      <c r="M52" s="2">
        <v>1098.3499999999999</v>
      </c>
      <c r="N52" s="2">
        <v>10983.5</v>
      </c>
      <c r="O52" s="2">
        <v>10.32</v>
      </c>
      <c r="P52" s="2">
        <v>1133.5</v>
      </c>
      <c r="Q52" s="2">
        <v>9850</v>
      </c>
      <c r="R52" s="2" t="s">
        <v>54</v>
      </c>
      <c r="S52" s="2" t="s">
        <v>63</v>
      </c>
      <c r="T52" s="2">
        <v>24.42</v>
      </c>
      <c r="U52" s="2">
        <v>2405.37</v>
      </c>
    </row>
    <row r="53" spans="1:21" x14ac:dyDescent="0.3">
      <c r="A53" s="2" t="s">
        <v>284</v>
      </c>
      <c r="B53" s="10">
        <v>44853</v>
      </c>
      <c r="C53" s="2" t="s">
        <v>156</v>
      </c>
      <c r="D53" s="2" t="s">
        <v>285</v>
      </c>
      <c r="E53" s="2" t="s">
        <v>21</v>
      </c>
      <c r="F53" s="2" t="s">
        <v>3</v>
      </c>
      <c r="G53" s="2" t="s">
        <v>50</v>
      </c>
      <c r="H53" s="2" t="s">
        <v>13</v>
      </c>
      <c r="I53" s="2" t="s">
        <v>118</v>
      </c>
      <c r="J53" s="2" t="s">
        <v>227</v>
      </c>
      <c r="K53" s="2" t="s">
        <v>286</v>
      </c>
      <c r="L53" s="2">
        <v>1</v>
      </c>
      <c r="M53" s="2">
        <v>580.37</v>
      </c>
      <c r="N53" s="2">
        <v>580.37</v>
      </c>
      <c r="O53" s="2">
        <v>18.100000000000001</v>
      </c>
      <c r="P53" s="2">
        <v>105.05</v>
      </c>
      <c r="Q53" s="2">
        <v>475.32</v>
      </c>
      <c r="R53" s="2" t="s">
        <v>90</v>
      </c>
      <c r="S53" s="2" t="s">
        <v>63</v>
      </c>
      <c r="T53" s="2">
        <v>16.02</v>
      </c>
      <c r="U53" s="2">
        <v>76.150000000000006</v>
      </c>
    </row>
    <row r="54" spans="1:21" x14ac:dyDescent="0.3">
      <c r="A54" s="2" t="s">
        <v>287</v>
      </c>
      <c r="B54" s="10">
        <v>44673</v>
      </c>
      <c r="C54" s="2" t="s">
        <v>225</v>
      </c>
      <c r="D54" s="2" t="s">
        <v>288</v>
      </c>
      <c r="E54" s="2" t="s">
        <v>21</v>
      </c>
      <c r="F54" s="2" t="s">
        <v>9</v>
      </c>
      <c r="G54" s="2" t="s">
        <v>50</v>
      </c>
      <c r="H54" s="2" t="s">
        <v>14</v>
      </c>
      <c r="I54" s="2" t="s">
        <v>198</v>
      </c>
      <c r="J54" s="2" t="s">
        <v>18</v>
      </c>
      <c r="K54" s="2" t="s">
        <v>289</v>
      </c>
      <c r="L54" s="2">
        <v>5</v>
      </c>
      <c r="M54" s="2">
        <v>1506.54</v>
      </c>
      <c r="N54" s="2">
        <v>7532.7</v>
      </c>
      <c r="O54" s="2">
        <v>21.03</v>
      </c>
      <c r="P54" s="2">
        <v>1584.13</v>
      </c>
      <c r="Q54" s="2">
        <v>5948.57</v>
      </c>
      <c r="R54" s="2" t="s">
        <v>54</v>
      </c>
      <c r="S54" s="2" t="s">
        <v>77</v>
      </c>
      <c r="T54" s="2">
        <v>5.74</v>
      </c>
      <c r="U54" s="2">
        <v>341.45</v>
      </c>
    </row>
    <row r="55" spans="1:21" x14ac:dyDescent="0.3">
      <c r="A55" s="2" t="s">
        <v>290</v>
      </c>
      <c r="B55" s="10">
        <v>44577</v>
      </c>
      <c r="C55" s="2" t="s">
        <v>291</v>
      </c>
      <c r="D55" s="2" t="s">
        <v>292</v>
      </c>
      <c r="E55" s="2" t="s">
        <v>22</v>
      </c>
      <c r="F55" s="2" t="s">
        <v>99</v>
      </c>
      <c r="G55" s="2" t="s">
        <v>50</v>
      </c>
      <c r="H55" s="2" t="s">
        <v>13</v>
      </c>
      <c r="I55" s="2" t="s">
        <v>81</v>
      </c>
      <c r="J55" s="2" t="s">
        <v>82</v>
      </c>
      <c r="K55" s="2" t="s">
        <v>293</v>
      </c>
      <c r="L55" s="2">
        <v>6</v>
      </c>
      <c r="M55" s="2">
        <v>9009.65</v>
      </c>
      <c r="N55" s="2">
        <v>54057.9</v>
      </c>
      <c r="O55" s="2">
        <v>5.96</v>
      </c>
      <c r="P55" s="2">
        <v>3221.85</v>
      </c>
      <c r="Q55" s="2">
        <v>50836.05</v>
      </c>
      <c r="R55" s="2" t="s">
        <v>62</v>
      </c>
      <c r="S55" s="2" t="s">
        <v>55</v>
      </c>
      <c r="T55" s="2">
        <v>24.11</v>
      </c>
      <c r="U55" s="2">
        <v>12256.57</v>
      </c>
    </row>
    <row r="56" spans="1:21" x14ac:dyDescent="0.3">
      <c r="A56" s="2" t="s">
        <v>294</v>
      </c>
      <c r="B56" s="10">
        <v>44693</v>
      </c>
      <c r="C56" s="2" t="s">
        <v>295</v>
      </c>
      <c r="D56" s="2" t="s">
        <v>296</v>
      </c>
      <c r="E56" s="2" t="s">
        <v>22</v>
      </c>
      <c r="F56" s="2" t="s">
        <v>8</v>
      </c>
      <c r="G56" s="2" t="s">
        <v>50</v>
      </c>
      <c r="H56" s="2" t="s">
        <v>13</v>
      </c>
      <c r="I56" s="2" t="s">
        <v>118</v>
      </c>
      <c r="J56" s="2" t="s">
        <v>119</v>
      </c>
      <c r="K56" s="2" t="s">
        <v>297</v>
      </c>
      <c r="L56" s="2">
        <v>1</v>
      </c>
      <c r="M56" s="2">
        <v>4079.2</v>
      </c>
      <c r="N56" s="2">
        <v>4079.2</v>
      </c>
      <c r="O56" s="2">
        <v>21.3</v>
      </c>
      <c r="P56" s="2">
        <v>868.87</v>
      </c>
      <c r="Q56" s="2">
        <v>3210.33</v>
      </c>
      <c r="R56" s="2" t="s">
        <v>54</v>
      </c>
      <c r="S56" s="2" t="s">
        <v>55</v>
      </c>
      <c r="T56" s="2">
        <v>18.52</v>
      </c>
      <c r="U56" s="2">
        <v>594.54999999999995</v>
      </c>
    </row>
    <row r="57" spans="1:21" x14ac:dyDescent="0.3">
      <c r="A57" s="2" t="s">
        <v>298</v>
      </c>
      <c r="B57" s="10">
        <v>44803</v>
      </c>
      <c r="C57" s="2" t="s">
        <v>299</v>
      </c>
      <c r="D57" s="2" t="s">
        <v>300</v>
      </c>
      <c r="E57" s="2" t="s">
        <v>21</v>
      </c>
      <c r="F57" s="2" t="s">
        <v>2</v>
      </c>
      <c r="G57" s="2" t="s">
        <v>50</v>
      </c>
      <c r="H57" s="2" t="s">
        <v>13</v>
      </c>
      <c r="I57" s="2" t="s">
        <v>81</v>
      </c>
      <c r="J57" s="2" t="s">
        <v>82</v>
      </c>
      <c r="K57" s="2" t="s">
        <v>301</v>
      </c>
      <c r="L57" s="2">
        <v>9</v>
      </c>
      <c r="M57" s="2">
        <v>743.13</v>
      </c>
      <c r="N57" s="2">
        <v>6688.17</v>
      </c>
      <c r="O57" s="2">
        <v>5.65</v>
      </c>
      <c r="P57" s="2">
        <v>377.88</v>
      </c>
      <c r="Q57" s="2">
        <v>6310.29</v>
      </c>
      <c r="R57" s="2" t="s">
        <v>62</v>
      </c>
      <c r="S57" s="2" t="s">
        <v>77</v>
      </c>
      <c r="T57" s="2">
        <v>5.2</v>
      </c>
      <c r="U57" s="2">
        <v>328.14</v>
      </c>
    </row>
    <row r="58" spans="1:21" x14ac:dyDescent="0.3">
      <c r="A58" s="2" t="s">
        <v>302</v>
      </c>
      <c r="B58" s="10">
        <v>44647</v>
      </c>
      <c r="C58" s="2" t="s">
        <v>303</v>
      </c>
      <c r="D58" s="2" t="s">
        <v>304</v>
      </c>
      <c r="E58" s="2" t="s">
        <v>23</v>
      </c>
      <c r="F58" s="2" t="s">
        <v>4</v>
      </c>
      <c r="G58" s="2" t="s">
        <v>67</v>
      </c>
      <c r="H58" s="2" t="s">
        <v>15</v>
      </c>
      <c r="I58" s="2" t="s">
        <v>114</v>
      </c>
      <c r="J58" s="2" t="s">
        <v>16</v>
      </c>
      <c r="K58" s="2" t="s">
        <v>305</v>
      </c>
      <c r="L58" s="2">
        <v>7</v>
      </c>
      <c r="M58" s="2">
        <v>9008.66</v>
      </c>
      <c r="N58" s="2">
        <v>63060.62</v>
      </c>
      <c r="O58" s="2">
        <v>13.76</v>
      </c>
      <c r="P58" s="2">
        <v>8677.14</v>
      </c>
      <c r="Q58" s="2">
        <v>54383.48</v>
      </c>
      <c r="R58" s="2" t="s">
        <v>62</v>
      </c>
      <c r="S58" s="2" t="s">
        <v>55</v>
      </c>
      <c r="T58" s="2">
        <v>6.88</v>
      </c>
      <c r="U58" s="2">
        <v>3741.58</v>
      </c>
    </row>
    <row r="59" spans="1:21" x14ac:dyDescent="0.3">
      <c r="A59" s="2" t="s">
        <v>306</v>
      </c>
      <c r="B59" s="10">
        <v>44819</v>
      </c>
      <c r="C59" s="2" t="s">
        <v>281</v>
      </c>
      <c r="D59" s="2" t="s">
        <v>307</v>
      </c>
      <c r="E59" s="2" t="s">
        <v>20</v>
      </c>
      <c r="F59" s="2" t="s">
        <v>8</v>
      </c>
      <c r="G59" s="2" t="s">
        <v>50</v>
      </c>
      <c r="H59" s="2" t="s">
        <v>14</v>
      </c>
      <c r="I59" s="2" t="s">
        <v>68</v>
      </c>
      <c r="J59" s="2" t="s">
        <v>74</v>
      </c>
      <c r="K59" s="2" t="s">
        <v>308</v>
      </c>
      <c r="L59" s="2">
        <v>9</v>
      </c>
      <c r="M59" s="2">
        <v>9716.14</v>
      </c>
      <c r="N59" s="2">
        <v>87445.26</v>
      </c>
      <c r="O59" s="2">
        <v>4.04</v>
      </c>
      <c r="P59" s="2">
        <v>3532.79</v>
      </c>
      <c r="Q59" s="2">
        <v>83912.47</v>
      </c>
      <c r="R59" s="2" t="s">
        <v>62</v>
      </c>
      <c r="S59" s="2" t="s">
        <v>63</v>
      </c>
      <c r="T59" s="2">
        <v>21.99</v>
      </c>
      <c r="U59" s="2">
        <v>18452.349999999999</v>
      </c>
    </row>
    <row r="60" spans="1:21" x14ac:dyDescent="0.3">
      <c r="A60" s="2" t="s">
        <v>309</v>
      </c>
      <c r="B60" s="10">
        <v>44911</v>
      </c>
      <c r="C60" s="2" t="s">
        <v>131</v>
      </c>
      <c r="D60" s="2" t="s">
        <v>310</v>
      </c>
      <c r="E60" s="2" t="s">
        <v>23</v>
      </c>
      <c r="F60" s="2" t="s">
        <v>6</v>
      </c>
      <c r="G60" s="2" t="s">
        <v>50</v>
      </c>
      <c r="H60" s="2" t="s">
        <v>13</v>
      </c>
      <c r="I60" s="2" t="s">
        <v>81</v>
      </c>
      <c r="J60" s="2" t="s">
        <v>94</v>
      </c>
      <c r="K60" s="2" t="s">
        <v>311</v>
      </c>
      <c r="L60" s="2">
        <v>1</v>
      </c>
      <c r="M60" s="2">
        <v>5073.16</v>
      </c>
      <c r="N60" s="2">
        <v>5073.16</v>
      </c>
      <c r="O60" s="2">
        <v>15.21</v>
      </c>
      <c r="P60" s="2">
        <v>771.63</v>
      </c>
      <c r="Q60" s="2">
        <v>4301.53</v>
      </c>
      <c r="R60" s="2" t="s">
        <v>62</v>
      </c>
      <c r="S60" s="2" t="s">
        <v>63</v>
      </c>
      <c r="T60" s="2">
        <v>16.64</v>
      </c>
      <c r="U60" s="2">
        <v>715.77</v>
      </c>
    </row>
    <row r="61" spans="1:21" x14ac:dyDescent="0.3">
      <c r="A61" s="2" t="s">
        <v>312</v>
      </c>
      <c r="B61" s="10">
        <v>44590</v>
      </c>
      <c r="C61" s="2" t="s">
        <v>313</v>
      </c>
      <c r="D61" s="2" t="s">
        <v>314</v>
      </c>
      <c r="E61" s="2" t="s">
        <v>20</v>
      </c>
      <c r="F61" s="2" t="s">
        <v>133</v>
      </c>
      <c r="G61" s="2" t="s">
        <v>67</v>
      </c>
      <c r="H61" s="2" t="s">
        <v>15</v>
      </c>
      <c r="I61" s="2" t="s">
        <v>59</v>
      </c>
      <c r="J61" s="2" t="s">
        <v>60</v>
      </c>
      <c r="K61" s="2" t="s">
        <v>315</v>
      </c>
      <c r="L61" s="2">
        <v>7</v>
      </c>
      <c r="M61" s="2">
        <v>9530.43</v>
      </c>
      <c r="N61" s="2">
        <v>66713.009999999995</v>
      </c>
      <c r="O61" s="2">
        <v>4.12</v>
      </c>
      <c r="P61" s="2">
        <v>2748.58</v>
      </c>
      <c r="Q61" s="2">
        <v>63964.43</v>
      </c>
      <c r="R61" s="2" t="s">
        <v>84</v>
      </c>
      <c r="S61" s="2" t="s">
        <v>55</v>
      </c>
      <c r="T61" s="2">
        <v>22.29</v>
      </c>
      <c r="U61" s="2">
        <v>14257.67</v>
      </c>
    </row>
    <row r="62" spans="1:21" x14ac:dyDescent="0.3">
      <c r="A62" s="2" t="s">
        <v>316</v>
      </c>
      <c r="B62" s="10">
        <v>44606</v>
      </c>
      <c r="C62" s="2" t="s">
        <v>317</v>
      </c>
      <c r="D62" s="2" t="s">
        <v>318</v>
      </c>
      <c r="E62" s="2" t="s">
        <v>22</v>
      </c>
      <c r="F62" s="2" t="s">
        <v>9</v>
      </c>
      <c r="G62" s="2" t="s">
        <v>50</v>
      </c>
      <c r="H62" s="2" t="s">
        <v>13</v>
      </c>
      <c r="I62" s="2" t="s">
        <v>118</v>
      </c>
      <c r="J62" s="2" t="s">
        <v>119</v>
      </c>
      <c r="K62" s="2" t="s">
        <v>319</v>
      </c>
      <c r="L62" s="2">
        <v>10</v>
      </c>
      <c r="M62" s="2">
        <v>4020.89</v>
      </c>
      <c r="N62" s="2">
        <v>40208.9</v>
      </c>
      <c r="O62" s="2">
        <v>26.86</v>
      </c>
      <c r="P62" s="2">
        <v>10800.11</v>
      </c>
      <c r="Q62" s="2">
        <v>29408.79</v>
      </c>
      <c r="R62" s="2" t="s">
        <v>62</v>
      </c>
      <c r="S62" s="2" t="s">
        <v>77</v>
      </c>
      <c r="T62" s="2">
        <v>5.99</v>
      </c>
      <c r="U62" s="2">
        <v>1761.59</v>
      </c>
    </row>
    <row r="63" spans="1:21" x14ac:dyDescent="0.3">
      <c r="A63" s="2" t="s">
        <v>320</v>
      </c>
      <c r="B63" s="10">
        <v>44759</v>
      </c>
      <c r="C63" s="2" t="s">
        <v>321</v>
      </c>
      <c r="D63" s="2" t="s">
        <v>322</v>
      </c>
      <c r="E63" s="2" t="s">
        <v>21</v>
      </c>
      <c r="F63" s="2" t="s">
        <v>133</v>
      </c>
      <c r="G63" s="2" t="s">
        <v>67</v>
      </c>
      <c r="H63" s="2" t="s">
        <v>15</v>
      </c>
      <c r="I63" s="2" t="s">
        <v>59</v>
      </c>
      <c r="J63" s="2" t="s">
        <v>60</v>
      </c>
      <c r="K63" s="2" t="s">
        <v>323</v>
      </c>
      <c r="L63" s="2">
        <v>2</v>
      </c>
      <c r="M63" s="2">
        <v>2605.9699999999998</v>
      </c>
      <c r="N63" s="2">
        <v>5211.9399999999996</v>
      </c>
      <c r="O63" s="2">
        <v>2.74</v>
      </c>
      <c r="P63" s="2">
        <v>142.81</v>
      </c>
      <c r="Q63" s="2">
        <v>5069.13</v>
      </c>
      <c r="R63" s="2" t="s">
        <v>54</v>
      </c>
      <c r="S63" s="2" t="s">
        <v>55</v>
      </c>
      <c r="T63" s="2">
        <v>15.19</v>
      </c>
      <c r="U63" s="2">
        <v>770</v>
      </c>
    </row>
    <row r="64" spans="1:21" x14ac:dyDescent="0.3">
      <c r="A64" s="2" t="s">
        <v>324</v>
      </c>
      <c r="B64" s="10">
        <v>44823</v>
      </c>
      <c r="C64" s="2" t="s">
        <v>325</v>
      </c>
      <c r="D64" s="2" t="s">
        <v>326</v>
      </c>
      <c r="E64" s="2" t="s">
        <v>21</v>
      </c>
      <c r="F64" s="2" t="s">
        <v>99</v>
      </c>
      <c r="G64" s="2" t="s">
        <v>50</v>
      </c>
      <c r="H64" s="2" t="s">
        <v>15</v>
      </c>
      <c r="I64" s="2" t="s">
        <v>163</v>
      </c>
      <c r="J64" s="2" t="s">
        <v>241</v>
      </c>
      <c r="K64" s="2" t="s">
        <v>327</v>
      </c>
      <c r="L64" s="2">
        <v>5</v>
      </c>
      <c r="M64" s="2">
        <v>6009.32</v>
      </c>
      <c r="N64" s="2">
        <v>30046.6</v>
      </c>
      <c r="O64" s="2">
        <v>20.69</v>
      </c>
      <c r="P64" s="2">
        <v>6216.64</v>
      </c>
      <c r="Q64" s="2">
        <v>23829.96</v>
      </c>
      <c r="R64" s="2" t="s">
        <v>76</v>
      </c>
      <c r="S64" s="2" t="s">
        <v>63</v>
      </c>
      <c r="T64" s="2">
        <v>22.9</v>
      </c>
      <c r="U64" s="2">
        <v>5457.06</v>
      </c>
    </row>
    <row r="65" spans="1:21" x14ac:dyDescent="0.3">
      <c r="A65" s="2" t="s">
        <v>328</v>
      </c>
      <c r="B65" s="10">
        <v>44843</v>
      </c>
      <c r="C65" s="2" t="s">
        <v>234</v>
      </c>
      <c r="D65" s="2" t="s">
        <v>329</v>
      </c>
      <c r="E65" s="2" t="s">
        <v>22</v>
      </c>
      <c r="F65" s="2" t="s">
        <v>133</v>
      </c>
      <c r="G65" s="2" t="s">
        <v>50</v>
      </c>
      <c r="H65" s="2" t="s">
        <v>15</v>
      </c>
      <c r="I65" s="2" t="s">
        <v>163</v>
      </c>
      <c r="J65" s="2" t="s">
        <v>241</v>
      </c>
      <c r="K65" s="2" t="s">
        <v>330</v>
      </c>
      <c r="L65" s="2">
        <v>10</v>
      </c>
      <c r="M65" s="2">
        <v>3411.54</v>
      </c>
      <c r="N65" s="2">
        <v>34115.4</v>
      </c>
      <c r="O65" s="2">
        <v>17.239999999999998</v>
      </c>
      <c r="P65" s="2">
        <v>5881.49</v>
      </c>
      <c r="Q65" s="2">
        <v>28233.91</v>
      </c>
      <c r="R65" s="2" t="s">
        <v>76</v>
      </c>
      <c r="S65" s="2" t="s">
        <v>63</v>
      </c>
      <c r="T65" s="2">
        <v>8.89</v>
      </c>
      <c r="U65" s="2">
        <v>2509.9899999999998</v>
      </c>
    </row>
    <row r="66" spans="1:21" x14ac:dyDescent="0.3">
      <c r="A66" s="2" t="s">
        <v>331</v>
      </c>
      <c r="B66" s="10">
        <v>44605</v>
      </c>
      <c r="C66" s="2" t="s">
        <v>332</v>
      </c>
      <c r="D66" s="2" t="s">
        <v>333</v>
      </c>
      <c r="E66" s="2" t="s">
        <v>22</v>
      </c>
      <c r="F66" s="2" t="s">
        <v>2</v>
      </c>
      <c r="G66" s="2" t="s">
        <v>67</v>
      </c>
      <c r="H66" s="2" t="s">
        <v>14</v>
      </c>
      <c r="I66" s="2" t="s">
        <v>198</v>
      </c>
      <c r="J66" s="2" t="s">
        <v>18</v>
      </c>
      <c r="K66" s="2" t="s">
        <v>334</v>
      </c>
      <c r="L66" s="2">
        <v>7</v>
      </c>
      <c r="M66" s="2">
        <v>9575.77</v>
      </c>
      <c r="N66" s="2">
        <v>67030.39</v>
      </c>
      <c r="O66" s="2">
        <v>28.22</v>
      </c>
      <c r="P66" s="2">
        <v>18915.98</v>
      </c>
      <c r="Q66" s="2">
        <v>48114.41</v>
      </c>
      <c r="R66" s="2" t="s">
        <v>84</v>
      </c>
      <c r="S66" s="2" t="s">
        <v>77</v>
      </c>
      <c r="T66" s="2">
        <v>14.01</v>
      </c>
      <c r="U66" s="2">
        <v>6740.83</v>
      </c>
    </row>
    <row r="67" spans="1:21" x14ac:dyDescent="0.3">
      <c r="A67" s="2" t="s">
        <v>335</v>
      </c>
      <c r="B67" s="10">
        <v>44730</v>
      </c>
      <c r="C67" s="2" t="s">
        <v>258</v>
      </c>
      <c r="D67" s="2" t="s">
        <v>336</v>
      </c>
      <c r="E67" s="2" t="s">
        <v>20</v>
      </c>
      <c r="F67" s="2" t="s">
        <v>7</v>
      </c>
      <c r="G67" s="2" t="s">
        <v>50</v>
      </c>
      <c r="H67" s="2" t="s">
        <v>13</v>
      </c>
      <c r="I67" s="2" t="s">
        <v>100</v>
      </c>
      <c r="J67" s="2" t="s">
        <v>134</v>
      </c>
      <c r="K67" s="2" t="s">
        <v>337</v>
      </c>
      <c r="L67" s="2">
        <v>6</v>
      </c>
      <c r="M67" s="2">
        <v>7683.37</v>
      </c>
      <c r="N67" s="2">
        <v>46100.22</v>
      </c>
      <c r="O67" s="2">
        <v>0.1</v>
      </c>
      <c r="P67" s="2">
        <v>46.1</v>
      </c>
      <c r="Q67" s="2">
        <v>46054.12</v>
      </c>
      <c r="R67" s="2" t="s">
        <v>84</v>
      </c>
      <c r="S67" s="2" t="s">
        <v>55</v>
      </c>
      <c r="T67" s="2">
        <v>9.5299999999999994</v>
      </c>
      <c r="U67" s="2">
        <v>4388.96</v>
      </c>
    </row>
    <row r="68" spans="1:21" x14ac:dyDescent="0.3">
      <c r="A68" s="2" t="s">
        <v>338</v>
      </c>
      <c r="B68" s="10">
        <v>44807</v>
      </c>
      <c r="C68" s="2" t="s">
        <v>339</v>
      </c>
      <c r="D68" s="2" t="s">
        <v>340</v>
      </c>
      <c r="E68" s="2" t="s">
        <v>22</v>
      </c>
      <c r="F68" s="2" t="s">
        <v>133</v>
      </c>
      <c r="G68" s="2" t="s">
        <v>67</v>
      </c>
      <c r="H68" s="2" t="s">
        <v>15</v>
      </c>
      <c r="I68" s="2" t="s">
        <v>114</v>
      </c>
      <c r="J68" s="2" t="s">
        <v>16</v>
      </c>
      <c r="K68" s="2" t="s">
        <v>341</v>
      </c>
      <c r="L68" s="2">
        <v>8</v>
      </c>
      <c r="M68" s="2">
        <v>3989.49</v>
      </c>
      <c r="N68" s="2">
        <v>31915.919999999998</v>
      </c>
      <c r="O68" s="2">
        <v>2.56</v>
      </c>
      <c r="P68" s="2">
        <v>817.05</v>
      </c>
      <c r="Q68" s="2">
        <v>31098.87</v>
      </c>
      <c r="R68" s="2" t="s">
        <v>90</v>
      </c>
      <c r="S68" s="2" t="s">
        <v>55</v>
      </c>
      <c r="T68" s="2">
        <v>10.88</v>
      </c>
      <c r="U68" s="2">
        <v>3383.56</v>
      </c>
    </row>
    <row r="69" spans="1:21" x14ac:dyDescent="0.3">
      <c r="A69" s="2" t="s">
        <v>342</v>
      </c>
      <c r="B69" s="10">
        <v>44881</v>
      </c>
      <c r="C69" s="2" t="s">
        <v>303</v>
      </c>
      <c r="D69" s="2" t="s">
        <v>343</v>
      </c>
      <c r="E69" s="2" t="s">
        <v>20</v>
      </c>
      <c r="F69" s="2" t="s">
        <v>7</v>
      </c>
      <c r="G69" s="2" t="s">
        <v>50</v>
      </c>
      <c r="H69" s="2" t="s">
        <v>14</v>
      </c>
      <c r="I69" s="2" t="s">
        <v>51</v>
      </c>
      <c r="J69" s="2" t="s">
        <v>52</v>
      </c>
      <c r="K69" s="2" t="s">
        <v>344</v>
      </c>
      <c r="L69" s="2">
        <v>1</v>
      </c>
      <c r="M69" s="2">
        <v>7211.62</v>
      </c>
      <c r="N69" s="2">
        <v>7211.62</v>
      </c>
      <c r="O69" s="2">
        <v>21.42</v>
      </c>
      <c r="P69" s="2">
        <v>1544.73</v>
      </c>
      <c r="Q69" s="2">
        <v>5666.89</v>
      </c>
      <c r="R69" s="2" t="s">
        <v>54</v>
      </c>
      <c r="S69" s="2" t="s">
        <v>77</v>
      </c>
      <c r="T69" s="2">
        <v>21.07</v>
      </c>
      <c r="U69" s="2">
        <v>1194.01</v>
      </c>
    </row>
    <row r="70" spans="1:21" x14ac:dyDescent="0.3">
      <c r="A70" s="2" t="s">
        <v>345</v>
      </c>
      <c r="B70" s="10">
        <v>44670</v>
      </c>
      <c r="C70" s="2" t="s">
        <v>303</v>
      </c>
      <c r="D70" s="2" t="s">
        <v>346</v>
      </c>
      <c r="E70" s="2" t="s">
        <v>22</v>
      </c>
      <c r="F70" s="2" t="s">
        <v>3</v>
      </c>
      <c r="G70" s="2" t="s">
        <v>50</v>
      </c>
      <c r="H70" s="2" t="s">
        <v>15</v>
      </c>
      <c r="I70" s="2" t="s">
        <v>163</v>
      </c>
      <c r="J70" s="2" t="s">
        <v>185</v>
      </c>
      <c r="K70" s="2" t="s">
        <v>347</v>
      </c>
      <c r="L70" s="2">
        <v>4</v>
      </c>
      <c r="M70" s="2">
        <v>8718.56</v>
      </c>
      <c r="N70" s="2">
        <v>34874.239999999998</v>
      </c>
      <c r="O70" s="2">
        <v>27.53</v>
      </c>
      <c r="P70" s="2">
        <v>9600.8799999999992</v>
      </c>
      <c r="Q70" s="2">
        <v>25273.360000000001</v>
      </c>
      <c r="R70" s="2" t="s">
        <v>84</v>
      </c>
      <c r="S70" s="2" t="s">
        <v>77</v>
      </c>
      <c r="T70" s="2">
        <v>15.52</v>
      </c>
      <c r="U70" s="2">
        <v>3922.43</v>
      </c>
    </row>
    <row r="71" spans="1:21" x14ac:dyDescent="0.3">
      <c r="A71" s="2" t="s">
        <v>348</v>
      </c>
      <c r="B71" s="10">
        <v>44873</v>
      </c>
      <c r="C71" s="2" t="s">
        <v>156</v>
      </c>
      <c r="D71" s="2" t="s">
        <v>349</v>
      </c>
      <c r="E71" s="2" t="s">
        <v>22</v>
      </c>
      <c r="F71" s="2" t="s">
        <v>3</v>
      </c>
      <c r="G71" s="2" t="s">
        <v>50</v>
      </c>
      <c r="H71" s="2" t="s">
        <v>15</v>
      </c>
      <c r="I71" s="2" t="s">
        <v>114</v>
      </c>
      <c r="J71" s="2" t="s">
        <v>123</v>
      </c>
      <c r="K71" s="2" t="s">
        <v>350</v>
      </c>
      <c r="L71" s="2">
        <v>8</v>
      </c>
      <c r="M71" s="2">
        <v>3576.8</v>
      </c>
      <c r="N71" s="2">
        <v>28614.400000000001</v>
      </c>
      <c r="O71" s="2">
        <v>12.11</v>
      </c>
      <c r="P71" s="2">
        <v>3465.2</v>
      </c>
      <c r="Q71" s="2">
        <v>25149.200000000001</v>
      </c>
      <c r="R71" s="2" t="s">
        <v>90</v>
      </c>
      <c r="S71" s="2" t="s">
        <v>55</v>
      </c>
      <c r="T71" s="2">
        <v>9.84</v>
      </c>
      <c r="U71" s="2">
        <v>2474.6799999999998</v>
      </c>
    </row>
    <row r="72" spans="1:21" x14ac:dyDescent="0.3">
      <c r="A72" s="2" t="s">
        <v>351</v>
      </c>
      <c r="B72" s="10">
        <v>44649</v>
      </c>
      <c r="C72" s="2" t="s">
        <v>352</v>
      </c>
      <c r="D72" s="2" t="s">
        <v>353</v>
      </c>
      <c r="E72" s="2" t="s">
        <v>23</v>
      </c>
      <c r="F72" s="2" t="s">
        <v>2</v>
      </c>
      <c r="G72" s="2" t="s">
        <v>50</v>
      </c>
      <c r="H72" s="2" t="s">
        <v>14</v>
      </c>
      <c r="I72" s="2" t="s">
        <v>51</v>
      </c>
      <c r="J72" s="2" t="s">
        <v>354</v>
      </c>
      <c r="K72" s="2" t="s">
        <v>355</v>
      </c>
      <c r="L72" s="2">
        <v>1</v>
      </c>
      <c r="M72" s="2">
        <v>3601.79</v>
      </c>
      <c r="N72" s="2">
        <v>3601.79</v>
      </c>
      <c r="O72" s="2">
        <v>17.95</v>
      </c>
      <c r="P72" s="2">
        <v>646.52</v>
      </c>
      <c r="Q72" s="2">
        <v>2955.27</v>
      </c>
      <c r="R72" s="2" t="s">
        <v>90</v>
      </c>
      <c r="S72" s="2" t="s">
        <v>55</v>
      </c>
      <c r="T72" s="2">
        <v>24.32</v>
      </c>
      <c r="U72" s="2">
        <v>718.72</v>
      </c>
    </row>
    <row r="73" spans="1:21" x14ac:dyDescent="0.3">
      <c r="A73" s="2" t="s">
        <v>356</v>
      </c>
      <c r="B73" s="10">
        <v>44922</v>
      </c>
      <c r="C73" s="2" t="s">
        <v>357</v>
      </c>
      <c r="D73" s="2" t="s">
        <v>358</v>
      </c>
      <c r="E73" s="2" t="s">
        <v>20</v>
      </c>
      <c r="F73" s="2" t="s">
        <v>2</v>
      </c>
      <c r="G73" s="2" t="s">
        <v>67</v>
      </c>
      <c r="H73" s="2" t="s">
        <v>13</v>
      </c>
      <c r="I73" s="2" t="s">
        <v>100</v>
      </c>
      <c r="J73" s="2" t="s">
        <v>134</v>
      </c>
      <c r="K73" s="2" t="s">
        <v>359</v>
      </c>
      <c r="L73" s="2">
        <v>7</v>
      </c>
      <c r="M73" s="2">
        <v>5744.19</v>
      </c>
      <c r="N73" s="2">
        <v>40209.33</v>
      </c>
      <c r="O73" s="2">
        <v>10.95</v>
      </c>
      <c r="P73" s="2">
        <v>4402.92</v>
      </c>
      <c r="Q73" s="2">
        <v>35806.410000000003</v>
      </c>
      <c r="R73" s="2" t="s">
        <v>76</v>
      </c>
      <c r="S73" s="2" t="s">
        <v>63</v>
      </c>
      <c r="T73" s="2">
        <v>17.690000000000001</v>
      </c>
      <c r="U73" s="2">
        <v>6334.15</v>
      </c>
    </row>
    <row r="74" spans="1:21" x14ac:dyDescent="0.3">
      <c r="A74" s="2" t="s">
        <v>360</v>
      </c>
      <c r="B74" s="10">
        <v>44918</v>
      </c>
      <c r="C74" s="2" t="s">
        <v>361</v>
      </c>
      <c r="D74" s="2" t="s">
        <v>362</v>
      </c>
      <c r="E74" s="2" t="s">
        <v>21</v>
      </c>
      <c r="F74" s="2" t="s">
        <v>4</v>
      </c>
      <c r="G74" s="2" t="s">
        <v>67</v>
      </c>
      <c r="H74" s="2" t="s">
        <v>14</v>
      </c>
      <c r="I74" s="2" t="s">
        <v>51</v>
      </c>
      <c r="J74" s="2" t="s">
        <v>354</v>
      </c>
      <c r="K74" s="2" t="s">
        <v>363</v>
      </c>
      <c r="L74" s="2">
        <v>10</v>
      </c>
      <c r="M74" s="2">
        <v>5365</v>
      </c>
      <c r="N74" s="2">
        <v>53650</v>
      </c>
      <c r="O74" s="2">
        <v>3</v>
      </c>
      <c r="P74" s="2">
        <v>1609.5</v>
      </c>
      <c r="Q74" s="2">
        <v>52040.5</v>
      </c>
      <c r="R74" s="2" t="s">
        <v>62</v>
      </c>
      <c r="S74" s="2" t="s">
        <v>77</v>
      </c>
      <c r="T74" s="2">
        <v>15.89</v>
      </c>
      <c r="U74" s="2">
        <v>8269.24</v>
      </c>
    </row>
    <row r="75" spans="1:21" x14ac:dyDescent="0.3">
      <c r="A75" s="2" t="s">
        <v>364</v>
      </c>
      <c r="B75" s="10">
        <v>44810</v>
      </c>
      <c r="C75" s="2" t="s">
        <v>365</v>
      </c>
      <c r="D75" s="2" t="s">
        <v>366</v>
      </c>
      <c r="E75" s="2" t="s">
        <v>21</v>
      </c>
      <c r="F75" s="2" t="s">
        <v>3</v>
      </c>
      <c r="G75" s="2" t="s">
        <v>67</v>
      </c>
      <c r="H75" s="2" t="s">
        <v>14</v>
      </c>
      <c r="I75" s="2" t="s">
        <v>68</v>
      </c>
      <c r="J75" s="2" t="s">
        <v>69</v>
      </c>
      <c r="K75" s="2" t="s">
        <v>367</v>
      </c>
      <c r="L75" s="2">
        <v>5</v>
      </c>
      <c r="M75" s="2">
        <v>603.51</v>
      </c>
      <c r="N75" s="2">
        <v>3017.55</v>
      </c>
      <c r="O75" s="2">
        <v>3.44</v>
      </c>
      <c r="P75" s="2">
        <v>103.8</v>
      </c>
      <c r="Q75" s="2">
        <v>2913.75</v>
      </c>
      <c r="R75" s="2" t="s">
        <v>76</v>
      </c>
      <c r="S75" s="2" t="s">
        <v>77</v>
      </c>
      <c r="T75" s="2">
        <v>20.190000000000001</v>
      </c>
      <c r="U75" s="2">
        <v>588.29</v>
      </c>
    </row>
    <row r="76" spans="1:21" x14ac:dyDescent="0.3">
      <c r="A76" s="2" t="s">
        <v>368</v>
      </c>
      <c r="B76" s="10">
        <v>44672</v>
      </c>
      <c r="C76" s="2" t="s">
        <v>369</v>
      </c>
      <c r="D76" s="2" t="s">
        <v>370</v>
      </c>
      <c r="E76" s="2" t="s">
        <v>20</v>
      </c>
      <c r="F76" s="2" t="s">
        <v>4</v>
      </c>
      <c r="G76" s="2" t="s">
        <v>67</v>
      </c>
      <c r="H76" s="2" t="s">
        <v>14</v>
      </c>
      <c r="I76" s="2" t="s">
        <v>198</v>
      </c>
      <c r="J76" s="2" t="s">
        <v>18</v>
      </c>
      <c r="K76" s="2" t="s">
        <v>371</v>
      </c>
      <c r="L76" s="2">
        <v>5</v>
      </c>
      <c r="M76" s="2">
        <v>794.78</v>
      </c>
      <c r="N76" s="2">
        <v>3973.9</v>
      </c>
      <c r="O76" s="2">
        <v>22.32</v>
      </c>
      <c r="P76" s="2">
        <v>886.97</v>
      </c>
      <c r="Q76" s="2">
        <v>3086.93</v>
      </c>
      <c r="R76" s="2" t="s">
        <v>62</v>
      </c>
      <c r="S76" s="2" t="s">
        <v>55</v>
      </c>
      <c r="T76" s="2">
        <v>16.63</v>
      </c>
      <c r="U76" s="2">
        <v>513.36</v>
      </c>
    </row>
    <row r="77" spans="1:21" x14ac:dyDescent="0.3">
      <c r="A77" s="2" t="s">
        <v>372</v>
      </c>
      <c r="B77" s="10">
        <v>44807</v>
      </c>
      <c r="C77" s="2" t="s">
        <v>97</v>
      </c>
      <c r="D77" s="2" t="s">
        <v>373</v>
      </c>
      <c r="E77" s="2" t="s">
        <v>20</v>
      </c>
      <c r="F77" s="2" t="s">
        <v>9</v>
      </c>
      <c r="G77" s="2" t="s">
        <v>67</v>
      </c>
      <c r="H77" s="2" t="s">
        <v>15</v>
      </c>
      <c r="I77" s="2" t="s">
        <v>59</v>
      </c>
      <c r="J77" s="2" t="s">
        <v>60</v>
      </c>
      <c r="K77" s="2" t="s">
        <v>374</v>
      </c>
      <c r="L77" s="2">
        <v>10</v>
      </c>
      <c r="M77" s="2">
        <v>6139.06</v>
      </c>
      <c r="N77" s="2">
        <v>61390.6</v>
      </c>
      <c r="O77" s="2">
        <v>6.13</v>
      </c>
      <c r="P77" s="2">
        <v>3763.24</v>
      </c>
      <c r="Q77" s="2">
        <v>57627.360000000001</v>
      </c>
      <c r="R77" s="2" t="s">
        <v>90</v>
      </c>
      <c r="S77" s="2" t="s">
        <v>77</v>
      </c>
      <c r="T77" s="2">
        <v>11.71</v>
      </c>
      <c r="U77" s="2">
        <v>6748.16</v>
      </c>
    </row>
    <row r="78" spans="1:21" x14ac:dyDescent="0.3">
      <c r="A78" s="2" t="s">
        <v>375</v>
      </c>
      <c r="B78" s="10">
        <v>44644</v>
      </c>
      <c r="C78" s="2" t="s">
        <v>79</v>
      </c>
      <c r="D78" s="2" t="s">
        <v>376</v>
      </c>
      <c r="E78" s="2" t="s">
        <v>22</v>
      </c>
      <c r="F78" s="2" t="s">
        <v>5</v>
      </c>
      <c r="G78" s="2" t="s">
        <v>67</v>
      </c>
      <c r="H78" s="2" t="s">
        <v>15</v>
      </c>
      <c r="I78" s="2" t="s">
        <v>59</v>
      </c>
      <c r="J78" s="2" t="s">
        <v>17</v>
      </c>
      <c r="K78" s="2" t="s">
        <v>377</v>
      </c>
      <c r="L78" s="2">
        <v>4</v>
      </c>
      <c r="M78" s="2">
        <v>1276.98</v>
      </c>
      <c r="N78" s="2">
        <v>5107.92</v>
      </c>
      <c r="O78" s="2">
        <v>4.38</v>
      </c>
      <c r="P78" s="2">
        <v>223.73</v>
      </c>
      <c r="Q78" s="2">
        <v>4884.1899999999996</v>
      </c>
      <c r="R78" s="2" t="s">
        <v>62</v>
      </c>
      <c r="S78" s="2" t="s">
        <v>77</v>
      </c>
      <c r="T78" s="2">
        <v>8.84</v>
      </c>
      <c r="U78" s="2">
        <v>431.76</v>
      </c>
    </row>
    <row r="79" spans="1:21" x14ac:dyDescent="0.3">
      <c r="A79" s="2" t="s">
        <v>378</v>
      </c>
      <c r="B79" s="10">
        <v>44642</v>
      </c>
      <c r="C79" s="2" t="s">
        <v>379</v>
      </c>
      <c r="D79" s="2" t="s">
        <v>380</v>
      </c>
      <c r="E79" s="2" t="s">
        <v>22</v>
      </c>
      <c r="F79" s="2" t="s">
        <v>4</v>
      </c>
      <c r="G79" s="2" t="s">
        <v>67</v>
      </c>
      <c r="H79" s="2" t="s">
        <v>14</v>
      </c>
      <c r="I79" s="2" t="s">
        <v>198</v>
      </c>
      <c r="J79" s="2" t="s">
        <v>381</v>
      </c>
      <c r="K79" s="2" t="s">
        <v>382</v>
      </c>
      <c r="L79" s="2">
        <v>2</v>
      </c>
      <c r="M79" s="2">
        <v>6949.88</v>
      </c>
      <c r="N79" s="2">
        <v>13899.76</v>
      </c>
      <c r="O79" s="2">
        <v>25.85</v>
      </c>
      <c r="P79" s="2">
        <v>3593.09</v>
      </c>
      <c r="Q79" s="2">
        <v>10306.67</v>
      </c>
      <c r="R79" s="2" t="s">
        <v>62</v>
      </c>
      <c r="S79" s="2" t="s">
        <v>55</v>
      </c>
      <c r="T79" s="2">
        <v>11.95</v>
      </c>
      <c r="U79" s="2">
        <v>1231.6500000000001</v>
      </c>
    </row>
    <row r="80" spans="1:21" x14ac:dyDescent="0.3">
      <c r="A80" s="2" t="s">
        <v>383</v>
      </c>
      <c r="B80" s="10">
        <v>44810</v>
      </c>
      <c r="C80" s="2" t="s">
        <v>384</v>
      </c>
      <c r="D80" s="2" t="s">
        <v>385</v>
      </c>
      <c r="E80" s="2" t="s">
        <v>21</v>
      </c>
      <c r="F80" s="2" t="s">
        <v>2</v>
      </c>
      <c r="G80" s="2" t="s">
        <v>67</v>
      </c>
      <c r="H80" s="2" t="s">
        <v>13</v>
      </c>
      <c r="I80" s="2" t="s">
        <v>118</v>
      </c>
      <c r="J80" s="2" t="s">
        <v>119</v>
      </c>
      <c r="K80" s="2" t="s">
        <v>386</v>
      </c>
      <c r="L80" s="2">
        <v>3</v>
      </c>
      <c r="M80" s="2">
        <v>5337.29</v>
      </c>
      <c r="N80" s="2">
        <v>16011.87</v>
      </c>
      <c r="O80" s="2">
        <v>6.27</v>
      </c>
      <c r="P80" s="2">
        <v>1003.94</v>
      </c>
      <c r="Q80" s="2">
        <v>15007.93</v>
      </c>
      <c r="R80" s="2" t="s">
        <v>62</v>
      </c>
      <c r="S80" s="2" t="s">
        <v>63</v>
      </c>
      <c r="T80" s="2">
        <v>19.68</v>
      </c>
      <c r="U80" s="2">
        <v>2953.56</v>
      </c>
    </row>
    <row r="81" spans="1:21" x14ac:dyDescent="0.3">
      <c r="A81" s="2" t="s">
        <v>387</v>
      </c>
      <c r="B81" s="10">
        <v>44792</v>
      </c>
      <c r="C81" s="2" t="s">
        <v>230</v>
      </c>
      <c r="D81" s="2" t="s">
        <v>388</v>
      </c>
      <c r="E81" s="2" t="s">
        <v>21</v>
      </c>
      <c r="F81" s="2" t="s">
        <v>3</v>
      </c>
      <c r="G81" s="2" t="s">
        <v>50</v>
      </c>
      <c r="H81" s="2" t="s">
        <v>15</v>
      </c>
      <c r="I81" s="2" t="s">
        <v>114</v>
      </c>
      <c r="J81" s="2" t="s">
        <v>389</v>
      </c>
      <c r="K81" s="2" t="s">
        <v>390</v>
      </c>
      <c r="L81" s="2">
        <v>7</v>
      </c>
      <c r="M81" s="2">
        <v>4161.22</v>
      </c>
      <c r="N81" s="2">
        <v>29128.54</v>
      </c>
      <c r="O81" s="2">
        <v>22.36</v>
      </c>
      <c r="P81" s="2">
        <v>6513.14</v>
      </c>
      <c r="Q81" s="2">
        <v>22615.4</v>
      </c>
      <c r="R81" s="2" t="s">
        <v>62</v>
      </c>
      <c r="S81" s="2" t="s">
        <v>63</v>
      </c>
      <c r="T81" s="2">
        <v>10.37</v>
      </c>
      <c r="U81" s="2">
        <v>2345.2199999999998</v>
      </c>
    </row>
    <row r="82" spans="1:21" x14ac:dyDescent="0.3">
      <c r="A82" s="2" t="s">
        <v>391</v>
      </c>
      <c r="B82" s="10">
        <v>44798</v>
      </c>
      <c r="C82" s="2" t="s">
        <v>392</v>
      </c>
      <c r="D82" s="2" t="s">
        <v>393</v>
      </c>
      <c r="E82" s="2" t="s">
        <v>20</v>
      </c>
      <c r="F82" s="2" t="s">
        <v>5</v>
      </c>
      <c r="G82" s="2" t="s">
        <v>67</v>
      </c>
      <c r="H82" s="2" t="s">
        <v>14</v>
      </c>
      <c r="I82" s="2" t="s">
        <v>68</v>
      </c>
      <c r="J82" s="2" t="s">
        <v>69</v>
      </c>
      <c r="K82" s="2" t="s">
        <v>394</v>
      </c>
      <c r="L82" s="2">
        <v>8</v>
      </c>
      <c r="M82" s="2">
        <v>9947.41</v>
      </c>
      <c r="N82" s="2">
        <v>79579.28</v>
      </c>
      <c r="O82" s="2">
        <v>9.76</v>
      </c>
      <c r="P82" s="2">
        <v>7766.94</v>
      </c>
      <c r="Q82" s="2">
        <v>71812.34</v>
      </c>
      <c r="R82" s="2" t="s">
        <v>62</v>
      </c>
      <c r="S82" s="2" t="s">
        <v>77</v>
      </c>
      <c r="T82" s="2">
        <v>17.16</v>
      </c>
      <c r="U82" s="2">
        <v>12323</v>
      </c>
    </row>
    <row r="83" spans="1:21" x14ac:dyDescent="0.3">
      <c r="A83" s="2" t="s">
        <v>395</v>
      </c>
      <c r="B83" s="10">
        <v>44919</v>
      </c>
      <c r="C83" s="2" t="s">
        <v>392</v>
      </c>
      <c r="D83" s="2" t="s">
        <v>396</v>
      </c>
      <c r="E83" s="2" t="s">
        <v>23</v>
      </c>
      <c r="F83" s="2" t="s">
        <v>8</v>
      </c>
      <c r="G83" s="2" t="s">
        <v>67</v>
      </c>
      <c r="H83" s="2" t="s">
        <v>14</v>
      </c>
      <c r="I83" s="2" t="s">
        <v>51</v>
      </c>
      <c r="J83" s="2" t="s">
        <v>88</v>
      </c>
      <c r="K83" s="2" t="s">
        <v>397</v>
      </c>
      <c r="L83" s="2">
        <v>3</v>
      </c>
      <c r="M83" s="2">
        <v>184.86</v>
      </c>
      <c r="N83" s="2">
        <v>554.58000000000004</v>
      </c>
      <c r="O83" s="2">
        <v>22.86</v>
      </c>
      <c r="P83" s="2">
        <v>126.78</v>
      </c>
      <c r="Q83" s="2">
        <v>427.8</v>
      </c>
      <c r="R83" s="2" t="s">
        <v>76</v>
      </c>
      <c r="S83" s="2" t="s">
        <v>55</v>
      </c>
      <c r="T83" s="2">
        <v>18.87</v>
      </c>
      <c r="U83" s="2">
        <v>80.73</v>
      </c>
    </row>
    <row r="84" spans="1:21" x14ac:dyDescent="0.3">
      <c r="A84" s="2" t="s">
        <v>398</v>
      </c>
      <c r="B84" s="10">
        <v>44900</v>
      </c>
      <c r="C84" s="2" t="s">
        <v>399</v>
      </c>
      <c r="D84" s="2" t="s">
        <v>400</v>
      </c>
      <c r="E84" s="2" t="s">
        <v>22</v>
      </c>
      <c r="F84" s="2" t="s">
        <v>7</v>
      </c>
      <c r="G84" s="2" t="s">
        <v>67</v>
      </c>
      <c r="H84" s="2" t="s">
        <v>13</v>
      </c>
      <c r="I84" s="2" t="s">
        <v>118</v>
      </c>
      <c r="J84" s="2" t="s">
        <v>119</v>
      </c>
      <c r="K84" s="2" t="s">
        <v>401</v>
      </c>
      <c r="L84" s="2">
        <v>9</v>
      </c>
      <c r="M84" s="2">
        <v>6104.43</v>
      </c>
      <c r="N84" s="2">
        <v>54939.87</v>
      </c>
      <c r="O84" s="2">
        <v>9.01</v>
      </c>
      <c r="P84" s="2">
        <v>4950.08</v>
      </c>
      <c r="Q84" s="2">
        <v>49989.79</v>
      </c>
      <c r="R84" s="2" t="s">
        <v>54</v>
      </c>
      <c r="S84" s="2" t="s">
        <v>77</v>
      </c>
      <c r="T84" s="2">
        <v>20.91</v>
      </c>
      <c r="U84" s="2">
        <v>10452.870000000001</v>
      </c>
    </row>
    <row r="85" spans="1:21" x14ac:dyDescent="0.3">
      <c r="A85" s="2" t="s">
        <v>402</v>
      </c>
      <c r="B85" s="10">
        <v>44763</v>
      </c>
      <c r="C85" s="2" t="s">
        <v>325</v>
      </c>
      <c r="D85" s="2" t="s">
        <v>403</v>
      </c>
      <c r="E85" s="2" t="s">
        <v>22</v>
      </c>
      <c r="F85" s="2" t="s">
        <v>7</v>
      </c>
      <c r="G85" s="2" t="s">
        <v>50</v>
      </c>
      <c r="H85" s="2" t="s">
        <v>15</v>
      </c>
      <c r="I85" s="2" t="s">
        <v>163</v>
      </c>
      <c r="J85" s="2" t="s">
        <v>164</v>
      </c>
      <c r="K85" s="2" t="s">
        <v>404</v>
      </c>
      <c r="L85" s="2">
        <v>1</v>
      </c>
      <c r="M85" s="2">
        <v>2309.6</v>
      </c>
      <c r="N85" s="2">
        <v>2309.6</v>
      </c>
      <c r="O85" s="2">
        <v>2.99</v>
      </c>
      <c r="P85" s="2">
        <v>69.06</v>
      </c>
      <c r="Q85" s="2">
        <v>2240.54</v>
      </c>
      <c r="R85" s="2" t="s">
        <v>84</v>
      </c>
      <c r="S85" s="2" t="s">
        <v>55</v>
      </c>
      <c r="T85" s="2">
        <v>18.13</v>
      </c>
      <c r="U85" s="2">
        <v>406.21</v>
      </c>
    </row>
    <row r="86" spans="1:21" x14ac:dyDescent="0.3">
      <c r="A86" s="2" t="s">
        <v>405</v>
      </c>
      <c r="B86" s="10">
        <v>44823</v>
      </c>
      <c r="C86" s="2" t="s">
        <v>179</v>
      </c>
      <c r="D86" s="2" t="s">
        <v>406</v>
      </c>
      <c r="E86" s="2" t="s">
        <v>23</v>
      </c>
      <c r="F86" s="2" t="s">
        <v>2</v>
      </c>
      <c r="G86" s="2" t="s">
        <v>50</v>
      </c>
      <c r="H86" s="2" t="s">
        <v>15</v>
      </c>
      <c r="I86" s="2" t="s">
        <v>163</v>
      </c>
      <c r="J86" s="2" t="s">
        <v>241</v>
      </c>
      <c r="K86" s="2" t="s">
        <v>407</v>
      </c>
      <c r="L86" s="2">
        <v>5</v>
      </c>
      <c r="M86" s="2">
        <v>8503</v>
      </c>
      <c r="N86" s="2">
        <v>42515</v>
      </c>
      <c r="O86" s="2">
        <v>6.16</v>
      </c>
      <c r="P86" s="2">
        <v>2618.92</v>
      </c>
      <c r="Q86" s="2">
        <v>39896.080000000002</v>
      </c>
      <c r="R86" s="2" t="s">
        <v>62</v>
      </c>
      <c r="S86" s="2" t="s">
        <v>77</v>
      </c>
      <c r="T86" s="2">
        <v>8.24</v>
      </c>
      <c r="U86" s="2">
        <v>3287.44</v>
      </c>
    </row>
    <row r="87" spans="1:21" x14ac:dyDescent="0.3">
      <c r="A87" s="2" t="s">
        <v>408</v>
      </c>
      <c r="B87" s="10">
        <v>44847</v>
      </c>
      <c r="C87" s="2" t="s">
        <v>303</v>
      </c>
      <c r="D87" s="2" t="s">
        <v>409</v>
      </c>
      <c r="E87" s="2" t="s">
        <v>20</v>
      </c>
      <c r="F87" s="2" t="s">
        <v>8</v>
      </c>
      <c r="G87" s="2" t="s">
        <v>67</v>
      </c>
      <c r="H87" s="2" t="s">
        <v>13</v>
      </c>
      <c r="I87" s="2" t="s">
        <v>100</v>
      </c>
      <c r="J87" s="2" t="s">
        <v>101</v>
      </c>
      <c r="K87" s="2" t="s">
        <v>410</v>
      </c>
      <c r="L87" s="2">
        <v>6</v>
      </c>
      <c r="M87" s="2">
        <v>5595.61</v>
      </c>
      <c r="N87" s="2">
        <v>33573.660000000003</v>
      </c>
      <c r="O87" s="2">
        <v>10.71</v>
      </c>
      <c r="P87" s="2">
        <v>3595.74</v>
      </c>
      <c r="Q87" s="2">
        <v>29977.919999999998</v>
      </c>
      <c r="R87" s="2" t="s">
        <v>90</v>
      </c>
      <c r="S87" s="2" t="s">
        <v>63</v>
      </c>
      <c r="T87" s="2">
        <v>16.73</v>
      </c>
      <c r="U87" s="2">
        <v>5015.3100000000004</v>
      </c>
    </row>
    <row r="88" spans="1:21" x14ac:dyDescent="0.3">
      <c r="A88" s="2" t="s">
        <v>411</v>
      </c>
      <c r="B88" s="10">
        <v>44598</v>
      </c>
      <c r="C88" s="2" t="s">
        <v>86</v>
      </c>
      <c r="D88" s="2" t="s">
        <v>412</v>
      </c>
      <c r="E88" s="2" t="s">
        <v>22</v>
      </c>
      <c r="F88" s="2" t="s">
        <v>8</v>
      </c>
      <c r="G88" s="2" t="s">
        <v>50</v>
      </c>
      <c r="H88" s="2" t="s">
        <v>14</v>
      </c>
      <c r="I88" s="2" t="s">
        <v>198</v>
      </c>
      <c r="J88" s="2" t="s">
        <v>381</v>
      </c>
      <c r="K88" s="2" t="s">
        <v>413</v>
      </c>
      <c r="L88" s="2">
        <v>4</v>
      </c>
      <c r="M88" s="2">
        <v>1412.81</v>
      </c>
      <c r="N88" s="2">
        <v>5651.24</v>
      </c>
      <c r="O88" s="2">
        <v>24.07</v>
      </c>
      <c r="P88" s="2">
        <v>1360.25</v>
      </c>
      <c r="Q88" s="2">
        <v>4290.99</v>
      </c>
      <c r="R88" s="2" t="s">
        <v>84</v>
      </c>
      <c r="S88" s="2" t="s">
        <v>63</v>
      </c>
      <c r="T88" s="2">
        <v>8.5299999999999994</v>
      </c>
      <c r="U88" s="2">
        <v>366.02</v>
      </c>
    </row>
    <row r="89" spans="1:21" x14ac:dyDescent="0.3">
      <c r="A89" s="2" t="s">
        <v>414</v>
      </c>
      <c r="B89" s="10">
        <v>44690</v>
      </c>
      <c r="C89" s="2" t="s">
        <v>211</v>
      </c>
      <c r="D89" s="2" t="s">
        <v>415</v>
      </c>
      <c r="E89" s="2" t="s">
        <v>20</v>
      </c>
      <c r="F89" s="2" t="s">
        <v>99</v>
      </c>
      <c r="G89" s="2" t="s">
        <v>50</v>
      </c>
      <c r="H89" s="2" t="s">
        <v>15</v>
      </c>
      <c r="I89" s="2" t="s">
        <v>59</v>
      </c>
      <c r="J89" s="2" t="s">
        <v>60</v>
      </c>
      <c r="K89" s="2" t="s">
        <v>416</v>
      </c>
      <c r="L89" s="2">
        <v>4</v>
      </c>
      <c r="M89" s="2">
        <v>4646.41</v>
      </c>
      <c r="N89" s="2">
        <v>18585.64</v>
      </c>
      <c r="O89" s="2">
        <v>29.86</v>
      </c>
      <c r="P89" s="2">
        <v>5549.67</v>
      </c>
      <c r="Q89" s="2">
        <v>13035.97</v>
      </c>
      <c r="R89" s="2" t="s">
        <v>76</v>
      </c>
      <c r="S89" s="2" t="s">
        <v>63</v>
      </c>
      <c r="T89" s="2">
        <v>5.69</v>
      </c>
      <c r="U89" s="2">
        <v>741.75</v>
      </c>
    </row>
    <row r="90" spans="1:21" x14ac:dyDescent="0.3">
      <c r="A90" s="2" t="s">
        <v>417</v>
      </c>
      <c r="B90" s="10">
        <v>44902</v>
      </c>
      <c r="C90" s="2" t="s">
        <v>234</v>
      </c>
      <c r="D90" s="2" t="s">
        <v>418</v>
      </c>
      <c r="E90" s="2" t="s">
        <v>22</v>
      </c>
      <c r="F90" s="2" t="s">
        <v>6</v>
      </c>
      <c r="G90" s="2" t="s">
        <v>67</v>
      </c>
      <c r="H90" s="2" t="s">
        <v>14</v>
      </c>
      <c r="I90" s="2" t="s">
        <v>51</v>
      </c>
      <c r="J90" s="2" t="s">
        <v>88</v>
      </c>
      <c r="K90" s="2" t="s">
        <v>419</v>
      </c>
      <c r="L90" s="2">
        <v>3</v>
      </c>
      <c r="M90" s="2">
        <v>9879.4500000000007</v>
      </c>
      <c r="N90" s="2">
        <v>29638.35</v>
      </c>
      <c r="O90" s="2">
        <v>28.75</v>
      </c>
      <c r="P90" s="2">
        <v>8521.0300000000007</v>
      </c>
      <c r="Q90" s="2">
        <v>21117.32</v>
      </c>
      <c r="R90" s="2" t="s">
        <v>90</v>
      </c>
      <c r="S90" s="2" t="s">
        <v>77</v>
      </c>
      <c r="T90" s="2">
        <v>5.39</v>
      </c>
      <c r="U90" s="2">
        <v>1138.22</v>
      </c>
    </row>
    <row r="91" spans="1:21" x14ac:dyDescent="0.3">
      <c r="A91" s="2" t="s">
        <v>420</v>
      </c>
      <c r="B91" s="10">
        <v>44849</v>
      </c>
      <c r="C91" s="2" t="s">
        <v>295</v>
      </c>
      <c r="D91" s="2" t="s">
        <v>421</v>
      </c>
      <c r="E91" s="2" t="s">
        <v>23</v>
      </c>
      <c r="F91" s="2" t="s">
        <v>5</v>
      </c>
      <c r="G91" s="2" t="s">
        <v>67</v>
      </c>
      <c r="H91" s="2" t="s">
        <v>14</v>
      </c>
      <c r="I91" s="2" t="s">
        <v>51</v>
      </c>
      <c r="J91" s="2" t="s">
        <v>88</v>
      </c>
      <c r="K91" s="2" t="s">
        <v>422</v>
      </c>
      <c r="L91" s="2">
        <v>1</v>
      </c>
      <c r="M91" s="2">
        <v>2217.35</v>
      </c>
      <c r="N91" s="2">
        <v>2217.35</v>
      </c>
      <c r="O91" s="2">
        <v>11.58</v>
      </c>
      <c r="P91" s="2">
        <v>256.77</v>
      </c>
      <c r="Q91" s="2">
        <v>1960.58</v>
      </c>
      <c r="R91" s="2" t="s">
        <v>54</v>
      </c>
      <c r="S91" s="2" t="s">
        <v>77</v>
      </c>
      <c r="T91" s="2">
        <v>14.94</v>
      </c>
      <c r="U91" s="2">
        <v>292.91000000000003</v>
      </c>
    </row>
    <row r="92" spans="1:21" x14ac:dyDescent="0.3">
      <c r="A92" s="2" t="s">
        <v>423</v>
      </c>
      <c r="B92" s="10">
        <v>44647</v>
      </c>
      <c r="C92" s="2" t="s">
        <v>361</v>
      </c>
      <c r="D92" s="2" t="s">
        <v>424</v>
      </c>
      <c r="E92" s="2" t="s">
        <v>22</v>
      </c>
      <c r="F92" s="2" t="s">
        <v>99</v>
      </c>
      <c r="G92" s="2" t="s">
        <v>67</v>
      </c>
      <c r="H92" s="2" t="s">
        <v>13</v>
      </c>
      <c r="I92" s="2" t="s">
        <v>81</v>
      </c>
      <c r="J92" s="2" t="s">
        <v>94</v>
      </c>
      <c r="K92" s="2" t="s">
        <v>425</v>
      </c>
      <c r="L92" s="2">
        <v>9</v>
      </c>
      <c r="M92" s="2">
        <v>4457.66</v>
      </c>
      <c r="N92" s="2">
        <v>40118.94</v>
      </c>
      <c r="O92" s="2">
        <v>26</v>
      </c>
      <c r="P92" s="2">
        <v>10430.92</v>
      </c>
      <c r="Q92" s="2">
        <v>29688.02</v>
      </c>
      <c r="R92" s="2" t="s">
        <v>76</v>
      </c>
      <c r="S92" s="2" t="s">
        <v>55</v>
      </c>
      <c r="T92" s="2">
        <v>20.98</v>
      </c>
      <c r="U92" s="2">
        <v>6228.55</v>
      </c>
    </row>
    <row r="93" spans="1:21" x14ac:dyDescent="0.3">
      <c r="A93" s="2" t="s">
        <v>426</v>
      </c>
      <c r="B93" s="10">
        <v>44821</v>
      </c>
      <c r="C93" s="2" t="s">
        <v>104</v>
      </c>
      <c r="D93" s="2" t="s">
        <v>427</v>
      </c>
      <c r="E93" s="2" t="s">
        <v>20</v>
      </c>
      <c r="F93" s="2" t="s">
        <v>6</v>
      </c>
      <c r="G93" s="2" t="s">
        <v>67</v>
      </c>
      <c r="H93" s="2" t="s">
        <v>14</v>
      </c>
      <c r="I93" s="2" t="s">
        <v>198</v>
      </c>
      <c r="J93" s="2" t="s">
        <v>18</v>
      </c>
      <c r="K93" s="2" t="s">
        <v>428</v>
      </c>
      <c r="L93" s="2">
        <v>10</v>
      </c>
      <c r="M93" s="2">
        <v>2633.5</v>
      </c>
      <c r="N93" s="2">
        <v>26335</v>
      </c>
      <c r="O93" s="2">
        <v>4.2699999999999996</v>
      </c>
      <c r="P93" s="2">
        <v>1124.5</v>
      </c>
      <c r="Q93" s="2">
        <v>25210.5</v>
      </c>
      <c r="R93" s="2" t="s">
        <v>84</v>
      </c>
      <c r="S93" s="2" t="s">
        <v>55</v>
      </c>
      <c r="T93" s="2">
        <v>12.98</v>
      </c>
      <c r="U93" s="2">
        <v>3272.32</v>
      </c>
    </row>
    <row r="94" spans="1:21" x14ac:dyDescent="0.3">
      <c r="A94" s="2" t="s">
        <v>429</v>
      </c>
      <c r="B94" s="10">
        <v>44575</v>
      </c>
      <c r="C94" s="2" t="s">
        <v>430</v>
      </c>
      <c r="D94" s="2" t="s">
        <v>431</v>
      </c>
      <c r="E94" s="2" t="s">
        <v>22</v>
      </c>
      <c r="F94" s="2" t="s">
        <v>133</v>
      </c>
      <c r="G94" s="2" t="s">
        <v>50</v>
      </c>
      <c r="H94" s="2" t="s">
        <v>14</v>
      </c>
      <c r="I94" s="2" t="s">
        <v>51</v>
      </c>
      <c r="J94" s="2" t="s">
        <v>88</v>
      </c>
      <c r="K94" s="2" t="s">
        <v>432</v>
      </c>
      <c r="L94" s="2">
        <v>4</v>
      </c>
      <c r="M94" s="2">
        <v>1745.31</v>
      </c>
      <c r="N94" s="2">
        <v>6981.24</v>
      </c>
      <c r="O94" s="2">
        <v>15.81</v>
      </c>
      <c r="P94" s="2">
        <v>1103.73</v>
      </c>
      <c r="Q94" s="2">
        <v>5877.51</v>
      </c>
      <c r="R94" s="2" t="s">
        <v>76</v>
      </c>
      <c r="S94" s="2" t="s">
        <v>55</v>
      </c>
      <c r="T94" s="2">
        <v>12.79</v>
      </c>
      <c r="U94" s="2">
        <v>751.73</v>
      </c>
    </row>
    <row r="95" spans="1:21" x14ac:dyDescent="0.3">
      <c r="A95" s="2" t="s">
        <v>433</v>
      </c>
      <c r="B95" s="10">
        <v>44890</v>
      </c>
      <c r="C95" s="2" t="s">
        <v>270</v>
      </c>
      <c r="D95" s="2" t="s">
        <v>434</v>
      </c>
      <c r="E95" s="2" t="s">
        <v>21</v>
      </c>
      <c r="F95" s="2" t="s">
        <v>2</v>
      </c>
      <c r="G95" s="2" t="s">
        <v>50</v>
      </c>
      <c r="H95" s="2" t="s">
        <v>13</v>
      </c>
      <c r="I95" s="2" t="s">
        <v>118</v>
      </c>
      <c r="J95" s="2" t="s">
        <v>119</v>
      </c>
      <c r="K95" s="2" t="s">
        <v>435</v>
      </c>
      <c r="L95" s="2">
        <v>5</v>
      </c>
      <c r="M95" s="2">
        <v>8921.0300000000007</v>
      </c>
      <c r="N95" s="2">
        <v>44605.15</v>
      </c>
      <c r="O95" s="2">
        <v>17.440000000000001</v>
      </c>
      <c r="P95" s="2">
        <v>7779.14</v>
      </c>
      <c r="Q95" s="2">
        <v>36826.01</v>
      </c>
      <c r="R95" s="2" t="s">
        <v>90</v>
      </c>
      <c r="S95" s="2" t="s">
        <v>77</v>
      </c>
      <c r="T95" s="2">
        <v>12.38</v>
      </c>
      <c r="U95" s="2">
        <v>4559.0600000000004</v>
      </c>
    </row>
    <row r="96" spans="1:21" x14ac:dyDescent="0.3">
      <c r="A96" s="2" t="s">
        <v>436</v>
      </c>
      <c r="B96" s="10">
        <v>44716</v>
      </c>
      <c r="C96" s="2" t="s">
        <v>317</v>
      </c>
      <c r="D96" s="2" t="s">
        <v>437</v>
      </c>
      <c r="E96" s="2" t="s">
        <v>23</v>
      </c>
      <c r="F96" s="2" t="s">
        <v>2</v>
      </c>
      <c r="G96" s="2" t="s">
        <v>67</v>
      </c>
      <c r="H96" s="2" t="s">
        <v>15</v>
      </c>
      <c r="I96" s="2" t="s">
        <v>59</v>
      </c>
      <c r="J96" s="2" t="s">
        <v>60</v>
      </c>
      <c r="K96" s="2" t="s">
        <v>438</v>
      </c>
      <c r="L96" s="2">
        <v>8</v>
      </c>
      <c r="M96" s="2">
        <v>652.94000000000005</v>
      </c>
      <c r="N96" s="2">
        <v>5223.5200000000004</v>
      </c>
      <c r="O96" s="2">
        <v>13.98</v>
      </c>
      <c r="P96" s="2">
        <v>730.25</v>
      </c>
      <c r="Q96" s="2">
        <v>4493.2700000000004</v>
      </c>
      <c r="R96" s="2" t="s">
        <v>76</v>
      </c>
      <c r="S96" s="2" t="s">
        <v>55</v>
      </c>
      <c r="T96" s="2">
        <v>19.29</v>
      </c>
      <c r="U96" s="2">
        <v>866.75</v>
      </c>
    </row>
    <row r="97" spans="1:21" x14ac:dyDescent="0.3">
      <c r="A97" s="2" t="s">
        <v>439</v>
      </c>
      <c r="B97" s="10">
        <v>44663</v>
      </c>
      <c r="C97" s="2" t="s">
        <v>440</v>
      </c>
      <c r="D97" s="2" t="s">
        <v>441</v>
      </c>
      <c r="E97" s="2" t="s">
        <v>22</v>
      </c>
      <c r="F97" s="2" t="s">
        <v>133</v>
      </c>
      <c r="G97" s="2" t="s">
        <v>67</v>
      </c>
      <c r="H97" s="2" t="s">
        <v>13</v>
      </c>
      <c r="I97" s="2" t="s">
        <v>118</v>
      </c>
      <c r="J97" s="2" t="s">
        <v>227</v>
      </c>
      <c r="K97" s="2" t="s">
        <v>442</v>
      </c>
      <c r="L97" s="2">
        <v>2</v>
      </c>
      <c r="M97" s="2">
        <v>2767.37</v>
      </c>
      <c r="N97" s="2">
        <v>5534.74</v>
      </c>
      <c r="O97" s="2">
        <v>14.48</v>
      </c>
      <c r="P97" s="2">
        <v>801.43</v>
      </c>
      <c r="Q97" s="2">
        <v>4733.3100000000004</v>
      </c>
      <c r="R97" s="2" t="s">
        <v>76</v>
      </c>
      <c r="S97" s="2" t="s">
        <v>77</v>
      </c>
      <c r="T97" s="2">
        <v>22.83</v>
      </c>
      <c r="U97" s="2">
        <v>1080.6099999999999</v>
      </c>
    </row>
    <row r="98" spans="1:21" x14ac:dyDescent="0.3">
      <c r="A98" s="2" t="s">
        <v>443</v>
      </c>
      <c r="B98" s="10">
        <v>44761</v>
      </c>
      <c r="C98" s="2" t="s">
        <v>145</v>
      </c>
      <c r="D98" s="2" t="s">
        <v>444</v>
      </c>
      <c r="E98" s="2" t="s">
        <v>21</v>
      </c>
      <c r="F98" s="2" t="s">
        <v>9</v>
      </c>
      <c r="G98" s="2" t="s">
        <v>67</v>
      </c>
      <c r="H98" s="2" t="s">
        <v>15</v>
      </c>
      <c r="I98" s="2" t="s">
        <v>163</v>
      </c>
      <c r="J98" s="2" t="s">
        <v>185</v>
      </c>
      <c r="K98" s="2" t="s">
        <v>445</v>
      </c>
      <c r="L98" s="2">
        <v>7</v>
      </c>
      <c r="M98" s="2">
        <v>4195.32</v>
      </c>
      <c r="N98" s="2">
        <v>29367.24</v>
      </c>
      <c r="O98" s="2">
        <v>9.58</v>
      </c>
      <c r="P98" s="2">
        <v>2813.38</v>
      </c>
      <c r="Q98" s="2">
        <v>26553.86</v>
      </c>
      <c r="R98" s="2" t="s">
        <v>84</v>
      </c>
      <c r="S98" s="2" t="s">
        <v>63</v>
      </c>
      <c r="T98" s="2">
        <v>18.11</v>
      </c>
      <c r="U98" s="2">
        <v>4808.8999999999996</v>
      </c>
    </row>
    <row r="99" spans="1:21" x14ac:dyDescent="0.3">
      <c r="A99" s="2" t="s">
        <v>446</v>
      </c>
      <c r="B99" s="10">
        <v>44853</v>
      </c>
      <c r="C99" s="2" t="s">
        <v>97</v>
      </c>
      <c r="D99" s="2" t="s">
        <v>447</v>
      </c>
      <c r="E99" s="2" t="s">
        <v>20</v>
      </c>
      <c r="F99" s="2" t="s">
        <v>6</v>
      </c>
      <c r="G99" s="2" t="s">
        <v>67</v>
      </c>
      <c r="H99" s="2" t="s">
        <v>15</v>
      </c>
      <c r="I99" s="2" t="s">
        <v>59</v>
      </c>
      <c r="J99" s="2" t="s">
        <v>60</v>
      </c>
      <c r="K99" s="2" t="s">
        <v>448</v>
      </c>
      <c r="L99" s="2">
        <v>3</v>
      </c>
      <c r="M99" s="2">
        <v>8781.35</v>
      </c>
      <c r="N99" s="2">
        <v>26344.05</v>
      </c>
      <c r="O99" s="2">
        <v>26.68</v>
      </c>
      <c r="P99" s="2">
        <v>7028.59</v>
      </c>
      <c r="Q99" s="2">
        <v>19315.46</v>
      </c>
      <c r="R99" s="2" t="s">
        <v>90</v>
      </c>
      <c r="S99" s="2" t="s">
        <v>55</v>
      </c>
      <c r="T99" s="2">
        <v>13.95</v>
      </c>
      <c r="U99" s="2">
        <v>2694.51</v>
      </c>
    </row>
    <row r="100" spans="1:21" x14ac:dyDescent="0.3">
      <c r="A100" s="2" t="s">
        <v>449</v>
      </c>
      <c r="B100" s="10">
        <v>44757</v>
      </c>
      <c r="C100" s="2" t="s">
        <v>450</v>
      </c>
      <c r="D100" s="2" t="s">
        <v>451</v>
      </c>
      <c r="E100" s="2" t="s">
        <v>23</v>
      </c>
      <c r="F100" s="2" t="s">
        <v>8</v>
      </c>
      <c r="G100" s="2" t="s">
        <v>50</v>
      </c>
      <c r="H100" s="2" t="s">
        <v>14</v>
      </c>
      <c r="I100" s="2" t="s">
        <v>51</v>
      </c>
      <c r="J100" s="2" t="s">
        <v>354</v>
      </c>
      <c r="K100" s="2" t="s">
        <v>452</v>
      </c>
      <c r="L100" s="2">
        <v>3</v>
      </c>
      <c r="M100" s="2">
        <v>1121.71</v>
      </c>
      <c r="N100" s="2">
        <v>3365.13</v>
      </c>
      <c r="O100" s="2">
        <v>3.29</v>
      </c>
      <c r="P100" s="2">
        <v>110.71</v>
      </c>
      <c r="Q100" s="2">
        <v>3254.42</v>
      </c>
      <c r="R100" s="2" t="s">
        <v>90</v>
      </c>
      <c r="S100" s="2" t="s">
        <v>63</v>
      </c>
      <c r="T100" s="2">
        <v>14.17</v>
      </c>
      <c r="U100" s="2">
        <v>461.15</v>
      </c>
    </row>
    <row r="101" spans="1:21" x14ac:dyDescent="0.3">
      <c r="A101" s="2" t="s">
        <v>453</v>
      </c>
      <c r="B101" s="10">
        <v>44738</v>
      </c>
      <c r="C101" s="2" t="s">
        <v>211</v>
      </c>
      <c r="D101" s="2" t="s">
        <v>454</v>
      </c>
      <c r="E101" s="2" t="s">
        <v>20</v>
      </c>
      <c r="F101" s="2" t="s">
        <v>4</v>
      </c>
      <c r="G101" s="2" t="s">
        <v>50</v>
      </c>
      <c r="H101" s="2" t="s">
        <v>14</v>
      </c>
      <c r="I101" s="2" t="s">
        <v>68</v>
      </c>
      <c r="J101" s="2" t="s">
        <v>69</v>
      </c>
      <c r="K101" s="2" t="s">
        <v>455</v>
      </c>
      <c r="L101" s="2">
        <v>1</v>
      </c>
      <c r="M101" s="2">
        <v>9895.1299999999992</v>
      </c>
      <c r="N101" s="2">
        <v>9895.1299999999992</v>
      </c>
      <c r="O101" s="2">
        <v>13.89</v>
      </c>
      <c r="P101" s="2">
        <v>1374.43</v>
      </c>
      <c r="Q101" s="2">
        <v>8520.7000000000007</v>
      </c>
      <c r="R101" s="2" t="s">
        <v>90</v>
      </c>
      <c r="S101" s="2" t="s">
        <v>77</v>
      </c>
      <c r="T101" s="2">
        <v>5.42</v>
      </c>
      <c r="U101" s="2">
        <v>461.82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sanchitsatpaise4771@gmail.com</dc:creator>
  <cp:lastModifiedBy>sanchit satpaise</cp:lastModifiedBy>
  <dcterms:created xsi:type="dcterms:W3CDTF">2025-06-21T07:49:31Z</dcterms:created>
  <dcterms:modified xsi:type="dcterms:W3CDTF">2025-07-17T18:25:14Z</dcterms:modified>
</cp:coreProperties>
</file>